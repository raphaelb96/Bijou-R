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_POIDS" sheetId="1" state="visible" r:id="rId1"/>
    <sheet name="COURS" sheetId="2" state="visible" r:id="rId2"/>
    <sheet name="CONFIG" sheetId="3" state="visible" r:id="rId3"/>
    <sheet name="CATALOGUE" sheetId="4" state="visible" r:id="rId4"/>
    <sheet name="EXPORT SHOPIF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0 &quot;mm&quot;"/>
    <numFmt numFmtId="165" formatCode="0.00000 &quot;ct&quot;"/>
    <numFmt numFmtId="166" formatCode="#,##0 &quot;€&quot;"/>
    <numFmt numFmtId="167" formatCode="#,##0.00 &quot;€&quot;"/>
    <numFmt numFmtId="168" formatCode="0.000 &quot;ct&quot;"/>
    <numFmt numFmtId="169" formatCode="0.0 &quot;g&quot;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i val="1"/>
      <color rgb="001A1A1A"/>
      <sz val="9"/>
    </font>
    <font>
      <name val="Calibri"/>
      <b val="1"/>
      <color rgb="00FFFFFF"/>
      <sz val="10"/>
    </font>
    <font>
      <name val="Calibri"/>
      <color rgb="001A1A1A"/>
      <sz val="10"/>
    </font>
    <font>
      <name val="Calibri"/>
      <b val="1"/>
      <color rgb="0000695C"/>
      <sz val="10"/>
    </font>
    <font>
      <name val="Calibri"/>
      <i val="1"/>
      <color rgb="001A1A1A"/>
      <sz val="10"/>
    </font>
    <font>
      <name val="Calibri"/>
      <b val="1"/>
      <color rgb="00FFD700"/>
      <sz val="14"/>
    </font>
    <font>
      <name val="Calibri"/>
      <b val="1"/>
      <color rgb="001A1A1A"/>
      <sz val="10"/>
    </font>
    <font>
      <name val="Calibri"/>
      <b val="1"/>
      <color rgb="001A1A1A"/>
      <sz val="11"/>
    </font>
    <font>
      <name val="Calibri"/>
      <b val="1"/>
      <color rgb="00FFFFFF"/>
      <sz val="11"/>
    </font>
    <font>
      <name val="Calibri"/>
      <b val="1"/>
      <color rgb="00FFFFFF"/>
      <sz val="14"/>
    </font>
    <font>
      <name val="Calibri"/>
      <b val="1"/>
      <color rgb="00FFFFFF"/>
      <sz val="9"/>
    </font>
    <font>
      <name val="Calibri"/>
      <b val="1"/>
      <color rgb="001A1A1A"/>
      <sz val="9"/>
    </font>
    <font>
      <name val="Calibri"/>
      <b val="1"/>
      <color rgb="00FFFFFF"/>
      <sz val="8"/>
    </font>
    <font>
      <name val="Calibri"/>
      <b val="1"/>
      <color rgb="001A1A1A"/>
      <sz val="8"/>
    </font>
    <font>
      <name val="Calibri"/>
      <i val="1"/>
      <color rgb="00888888"/>
      <sz val="9"/>
    </font>
    <font>
      <name val="Calibri"/>
      <i val="1"/>
      <color rgb="00555555"/>
      <sz val="8"/>
    </font>
  </fonts>
  <fills count="17">
    <fill>
      <patternFill/>
    </fill>
    <fill>
      <patternFill patternType="gray125"/>
    </fill>
    <fill>
      <patternFill patternType="solid">
        <fgColor rgb="0000695C"/>
      </patternFill>
    </fill>
    <fill>
      <patternFill patternType="solid">
        <fgColor rgb="00E0F2F1"/>
      </patternFill>
    </fill>
    <fill>
      <patternFill patternType="solid">
        <fgColor rgb="00FFFFFF"/>
      </patternFill>
    </fill>
    <fill>
      <patternFill patternType="solid">
        <fgColor rgb="001A1A1A"/>
      </patternFill>
    </fill>
    <fill>
      <patternFill patternType="solid">
        <fgColor rgb="00FFF8DC"/>
      </patternFill>
    </fill>
    <fill>
      <patternFill patternType="solid">
        <fgColor rgb="00FFD700"/>
      </patternFill>
    </fill>
    <fill>
      <patternFill patternType="solid">
        <fgColor rgb="001565C0"/>
      </patternFill>
    </fill>
    <fill>
      <patternFill patternType="solid">
        <fgColor rgb="00E3F2FD"/>
      </patternFill>
    </fill>
    <fill>
      <patternFill patternType="solid">
        <fgColor rgb="006A1B9A"/>
      </patternFill>
    </fill>
    <fill>
      <patternFill patternType="solid">
        <fgColor rgb="00F3E5F5"/>
      </patternFill>
    </fill>
    <fill>
      <patternFill patternType="solid">
        <fgColor rgb="00F2F2F2"/>
      </patternFill>
    </fill>
    <fill>
      <patternFill patternType="solid">
        <fgColor rgb="002E7D32"/>
      </patternFill>
    </fill>
    <fill>
      <patternFill patternType="solid">
        <fgColor rgb="00B71C1C"/>
      </patternFill>
    </fill>
    <fill>
      <patternFill patternType="solid">
        <fgColor rgb="00E8F5E9"/>
      </patternFill>
    </fill>
    <fill>
      <patternFill patternType="solid">
        <fgColor rgb="00FFEBE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7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164" fontId="5" fillId="3" borderId="1" applyAlignment="1" pivotButton="0" quotePrefix="0" xfId="0">
      <alignment horizontal="center" vertical="center" wrapText="1"/>
    </xf>
    <xf numFmtId="165" fontId="4" fillId="3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164" fontId="5" fillId="4" borderId="1" applyAlignment="1" pivotButton="0" quotePrefix="0" xfId="0">
      <alignment horizontal="center" vertical="center" wrapText="1"/>
    </xf>
    <xf numFmtId="165" fontId="4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 wrapText="1"/>
    </xf>
    <xf numFmtId="0" fontId="7" fillId="5" borderId="0" applyAlignment="1" pivotButton="0" quotePrefix="0" xfId="0">
      <alignment horizontal="center" vertical="center" wrapText="1"/>
    </xf>
    <xf numFmtId="0" fontId="8" fillId="6" borderId="0" applyAlignment="1" pivotButton="0" quotePrefix="0" xfId="0">
      <alignment horizontal="center" vertical="center" wrapText="1"/>
    </xf>
    <xf numFmtId="0" fontId="9" fillId="7" borderId="0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166" fontId="8" fillId="7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left" vertical="center" wrapText="1"/>
    </xf>
    <xf numFmtId="0" fontId="10" fillId="8" borderId="0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left" vertical="center" wrapText="1"/>
    </xf>
    <xf numFmtId="166" fontId="8" fillId="9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left" vertical="center" wrapText="1"/>
    </xf>
    <xf numFmtId="0" fontId="10" fillId="10" borderId="0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8" fillId="11" borderId="1" applyAlignment="1" pivotButton="0" quotePrefix="0" xfId="0">
      <alignment horizontal="left" vertical="center" wrapText="1"/>
    </xf>
    <xf numFmtId="166" fontId="8" fillId="11" borderId="1" applyAlignment="1" pivotButton="0" quotePrefix="0" xfId="0">
      <alignment horizontal="center" vertical="center" wrapText="1"/>
    </xf>
    <xf numFmtId="0" fontId="4" fillId="11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left" vertical="center" wrapText="1"/>
    </xf>
    <xf numFmtId="0" fontId="11" fillId="5" borderId="0" applyAlignment="1" pivotButton="0" quotePrefix="0" xfId="0">
      <alignment horizontal="center" vertical="center" wrapText="1"/>
    </xf>
    <xf numFmtId="0" fontId="10" fillId="5" borderId="0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8" fillId="12" borderId="1" applyAlignment="1" pivotButton="0" quotePrefix="0" xfId="0">
      <alignment horizontal="left" vertical="center" wrapText="1"/>
    </xf>
    <xf numFmtId="2" fontId="8" fillId="6" borderId="1" applyAlignment="1" pivotButton="0" quotePrefix="0" xfId="0">
      <alignment horizontal="center" vertical="center" wrapText="1"/>
    </xf>
    <xf numFmtId="0" fontId="4" fillId="12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left" vertical="center" wrapText="1"/>
    </xf>
    <xf numFmtId="9" fontId="8" fillId="6" borderId="1" applyAlignment="1" pivotButton="0" quotePrefix="0" xfId="0">
      <alignment horizontal="center" vertical="center" wrapText="1"/>
    </xf>
    <xf numFmtId="0" fontId="10" fillId="13" borderId="0" applyAlignment="1" pivotButton="0" quotePrefix="0" xfId="0">
      <alignment horizontal="center" vertical="center" wrapText="1"/>
    </xf>
    <xf numFmtId="0" fontId="3" fillId="13" borderId="1" applyAlignment="1" pivotButton="0" quotePrefix="0" xfId="0">
      <alignment horizontal="center" vertical="center" wrapText="1"/>
    </xf>
    <xf numFmtId="167" fontId="8" fillId="12" borderId="1" applyAlignment="1" pivotButton="0" quotePrefix="0" xfId="0">
      <alignment horizontal="center" vertical="center" wrapText="1"/>
    </xf>
    <xf numFmtId="0" fontId="10" fillId="14" borderId="0" applyAlignment="1" pivotButton="0" quotePrefix="0" xfId="0">
      <alignment horizontal="center" vertical="center" wrapText="1"/>
    </xf>
    <xf numFmtId="0" fontId="3" fillId="14" borderId="1" applyAlignment="1" pivotButton="0" quotePrefix="0" xfId="0">
      <alignment horizontal="center" vertical="center" wrapText="1"/>
    </xf>
    <xf numFmtId="2" fontId="8" fillId="12" borderId="1" applyAlignment="1" pivotButton="0" quotePrefix="0" xfId="0">
      <alignment horizontal="center" vertical="center" wrapText="1"/>
    </xf>
    <xf numFmtId="9" fontId="8" fillId="12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 wrapText="1"/>
    </xf>
    <xf numFmtId="0" fontId="12" fillId="13" borderId="1" applyAlignment="1" pivotButton="0" quotePrefix="0" xfId="0">
      <alignment horizontal="center" vertical="center" wrapText="1"/>
    </xf>
    <xf numFmtId="0" fontId="12" fillId="1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4" fillId="5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4" fillId="13" borderId="1" applyAlignment="1" pivotButton="0" quotePrefix="0" xfId="0">
      <alignment horizontal="center" vertical="center" wrapText="1"/>
    </xf>
    <xf numFmtId="0" fontId="14" fillId="14" borderId="1" applyAlignment="1" pivotButton="0" quotePrefix="0" xfId="0">
      <alignment horizontal="center" vertical="center" wrapText="1"/>
    </xf>
    <xf numFmtId="0" fontId="15" fillId="7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168" fontId="8" fillId="15" borderId="1" applyAlignment="1" pivotButton="0" quotePrefix="0" xfId="0">
      <alignment horizontal="center" vertical="center" wrapText="1"/>
    </xf>
    <xf numFmtId="169" fontId="4" fillId="6" borderId="1" applyAlignment="1" pivotButton="0" quotePrefix="0" xfId="0">
      <alignment horizontal="center" vertical="center" wrapText="1"/>
    </xf>
    <xf numFmtId="166" fontId="8" fillId="6" borderId="1" applyAlignment="1" pivotButton="0" quotePrefix="0" xfId="0">
      <alignment horizontal="center" vertical="center" wrapText="1"/>
    </xf>
    <xf numFmtId="167" fontId="4" fillId="16" borderId="1" applyAlignment="1" pivotButton="0" quotePrefix="0" xfId="0">
      <alignment horizontal="center" vertical="center" wrapText="1"/>
    </xf>
    <xf numFmtId="167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8" fillId="11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169" fontId="4" fillId="4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8" fillId="16" borderId="1" applyAlignment="1" pivotButton="0" quotePrefix="0" xfId="0">
      <alignment horizontal="center" vertical="center" wrapText="1"/>
    </xf>
    <xf numFmtId="0" fontId="16" fillId="12" borderId="0" applyAlignment="1" pivotButton="0" quotePrefix="0" xfId="0">
      <alignment horizontal="center" vertical="center" wrapText="1"/>
    </xf>
    <xf numFmtId="0" fontId="1" fillId="13" borderId="0" applyAlignment="1" pivotButton="0" quotePrefix="0" xfId="0">
      <alignment horizontal="center" vertical="center" wrapText="1"/>
    </xf>
    <xf numFmtId="0" fontId="2" fillId="12" borderId="0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95C"/>
    <outlinePr summaryBelow="1" summaryRight="1"/>
    <pageSetUpPr/>
  </sheetPr>
  <dimension ref="A1:C9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40" customWidth="1" min="3" max="3"/>
  </cols>
  <sheetData>
    <row r="1" ht="32" customHeight="1">
      <c r="A1" s="1" t="inlineStr">
        <is>
          <t>TABLE DE RÉFÉRENCE — Diamètre (mm) → Poids (carats)</t>
        </is>
      </c>
    </row>
    <row r="2" ht="20" customHeight="1">
      <c r="A2" s="2" t="inlineStr">
        <is>
          <t>Sources : TAMISSIZEWEIGHT (standard industrie) + DIAMOND_sizeweight. Ne pas modifier — utilisée par VLOOKUP dans le CATALOGUE.</t>
        </is>
      </c>
    </row>
    <row r="3" ht="20" customHeight="1">
      <c r="A3" s="3" t="inlineStr">
        <is>
          <t>Diamètre (mm)</t>
        </is>
      </c>
      <c r="B3" s="3" t="inlineStr">
        <is>
          <t>Poids unitaire (ct)</t>
        </is>
      </c>
      <c r="C3" s="3" t="inlineStr">
        <is>
          <t>Indication visuelle</t>
        </is>
      </c>
    </row>
    <row r="4" ht="16" customHeight="1">
      <c r="A4" s="4" t="n">
        <v>0.8</v>
      </c>
      <c r="B4" s="5" t="n">
        <v>0.0025</v>
      </c>
      <c r="C4" s="6" t="inlineStr">
        <is>
          <t>Melee très fin</t>
        </is>
      </c>
    </row>
    <row r="5" ht="16" customHeight="1">
      <c r="A5" s="7" t="n">
        <v>0.85</v>
      </c>
      <c r="B5" s="8" t="n">
        <v>0.0023</v>
      </c>
      <c r="C5" s="9" t="inlineStr">
        <is>
          <t>Melee très fin</t>
        </is>
      </c>
    </row>
    <row r="6" ht="16" customHeight="1">
      <c r="A6" s="4" t="n">
        <v>0.9</v>
      </c>
      <c r="B6" s="5" t="n">
        <v>0.005</v>
      </c>
      <c r="C6" s="6" t="inlineStr">
        <is>
          <t>Melee très fin</t>
        </is>
      </c>
    </row>
    <row r="7" ht="16" customHeight="1">
      <c r="A7" s="7" t="n">
        <v>0.95</v>
      </c>
      <c r="B7" s="8" t="n">
        <v>0.0032</v>
      </c>
      <c r="C7" s="9" t="inlineStr">
        <is>
          <t>Melee standard</t>
        </is>
      </c>
    </row>
    <row r="8" ht="16" customHeight="1">
      <c r="A8" s="4" t="n">
        <v>1</v>
      </c>
      <c r="B8" s="5" t="n">
        <v>0.006</v>
      </c>
      <c r="C8" s="6" t="inlineStr">
        <is>
          <t>Melee standard</t>
        </is>
      </c>
    </row>
    <row r="9" ht="16" customHeight="1">
      <c r="A9" s="7" t="n">
        <v>1.05</v>
      </c>
      <c r="B9" s="8" t="n">
        <v>0.00429</v>
      </c>
      <c r="C9" s="9" t="inlineStr">
        <is>
          <t>Melee standard</t>
        </is>
      </c>
    </row>
    <row r="10" ht="16" customHeight="1">
      <c r="A10" s="4" t="n">
        <v>1.1</v>
      </c>
      <c r="B10" s="5" t="n">
        <v>0.00654</v>
      </c>
      <c r="C10" s="6" t="inlineStr">
        <is>
          <t>Melee standard</t>
        </is>
      </c>
    </row>
    <row r="11" ht="16" customHeight="1">
      <c r="A11" s="7" t="n">
        <v>1.15</v>
      </c>
      <c r="B11" s="8" t="n">
        <v>0.00712</v>
      </c>
      <c r="C11" s="9" t="inlineStr">
        <is>
          <t>Melee standard</t>
        </is>
      </c>
    </row>
    <row r="12" ht="16" customHeight="1">
      <c r="A12" s="4" t="n">
        <v>1.2</v>
      </c>
      <c r="B12" s="5" t="n">
        <v>0.008149999999999999</v>
      </c>
      <c r="C12" s="6" t="inlineStr">
        <is>
          <t>Melee standard</t>
        </is>
      </c>
    </row>
    <row r="13" ht="16" customHeight="1">
      <c r="A13" s="7" t="n">
        <v>1.25</v>
      </c>
      <c r="B13" s="8" t="n">
        <v>0.009305000000000001</v>
      </c>
      <c r="C13" s="9" t="inlineStr">
        <is>
          <t>Melee standard</t>
        </is>
      </c>
    </row>
    <row r="14" ht="16" customHeight="1">
      <c r="A14" s="4" t="n">
        <v>1.3</v>
      </c>
      <c r="B14" s="5" t="n">
        <v>0.0101</v>
      </c>
      <c r="C14" s="6" t="inlineStr">
        <is>
          <t>Melee standard</t>
        </is>
      </c>
    </row>
    <row r="15" ht="16" customHeight="1">
      <c r="A15" s="7" t="n">
        <v>1.35</v>
      </c>
      <c r="B15" s="8" t="n">
        <v>0.01158</v>
      </c>
      <c r="C15" s="9" t="inlineStr">
        <is>
          <t>Melee standard</t>
        </is>
      </c>
    </row>
    <row r="16" ht="16" customHeight="1">
      <c r="A16" s="4" t="n">
        <v>1.4</v>
      </c>
      <c r="B16" s="5" t="n">
        <v>0.01225</v>
      </c>
      <c r="C16" s="6" t="inlineStr">
        <is>
          <t>Melee standard</t>
        </is>
      </c>
    </row>
    <row r="17" ht="16" customHeight="1">
      <c r="A17" s="7" t="n">
        <v>1.45</v>
      </c>
      <c r="B17" s="8" t="n">
        <v>0.01429</v>
      </c>
      <c r="C17" s="9" t="inlineStr">
        <is>
          <t>Melee standard</t>
        </is>
      </c>
    </row>
    <row r="18" ht="16" customHeight="1">
      <c r="A18" s="4" t="n">
        <v>1.5</v>
      </c>
      <c r="B18" s="5" t="n">
        <v>0.01522</v>
      </c>
      <c r="C18" s="6" t="inlineStr">
        <is>
          <t>Melee standard</t>
        </is>
      </c>
    </row>
    <row r="19" ht="16" customHeight="1">
      <c r="A19" s="7" t="n">
        <v>1.55</v>
      </c>
      <c r="B19" s="8" t="n">
        <v>0.01721</v>
      </c>
      <c r="C19" s="9" t="inlineStr">
        <is>
          <t>Petit diamant</t>
        </is>
      </c>
    </row>
    <row r="20" ht="16" customHeight="1">
      <c r="A20" s="4" t="n">
        <v>1.6</v>
      </c>
      <c r="B20" s="5" t="n">
        <v>0.01875</v>
      </c>
      <c r="C20" s="6" t="inlineStr">
        <is>
          <t>Petit diamant</t>
        </is>
      </c>
    </row>
    <row r="21" ht="16" customHeight="1">
      <c r="A21" s="7" t="n">
        <v>1.65</v>
      </c>
      <c r="B21" s="8" t="n">
        <v>0.01689</v>
      </c>
      <c r="C21" s="9" t="inlineStr">
        <is>
          <t>Petit diamant</t>
        </is>
      </c>
    </row>
    <row r="22" ht="16" customHeight="1">
      <c r="A22" s="4" t="n">
        <v>1.7</v>
      </c>
      <c r="B22" s="5" t="n">
        <v>0.02318</v>
      </c>
      <c r="C22" s="6" t="inlineStr">
        <is>
          <t>Petit diamant</t>
        </is>
      </c>
    </row>
    <row r="23" ht="16" customHeight="1">
      <c r="A23" s="7" t="n">
        <v>1.75</v>
      </c>
      <c r="B23" s="8" t="n">
        <v>0.02011</v>
      </c>
      <c r="C23" s="9" t="inlineStr">
        <is>
          <t>Petit diamant</t>
        </is>
      </c>
    </row>
    <row r="24" ht="16" customHeight="1">
      <c r="A24" s="4" t="n">
        <v>1.8</v>
      </c>
      <c r="B24" s="5" t="n">
        <v>0.02742</v>
      </c>
      <c r="C24" s="6" t="inlineStr">
        <is>
          <t>Petit diamant</t>
        </is>
      </c>
    </row>
    <row r="25" ht="16" customHeight="1">
      <c r="A25" s="7" t="n">
        <v>1.85</v>
      </c>
      <c r="B25" s="8" t="n">
        <v>0.02378</v>
      </c>
      <c r="C25" s="9" t="inlineStr">
        <is>
          <t>Petit diamant</t>
        </is>
      </c>
    </row>
    <row r="26" ht="16" customHeight="1">
      <c r="A26" s="4" t="n">
        <v>1.9</v>
      </c>
      <c r="B26" s="5" t="n">
        <v>0.0294</v>
      </c>
      <c r="C26" s="6" t="inlineStr">
        <is>
          <t>Petit diamant</t>
        </is>
      </c>
    </row>
    <row r="27" ht="16" customHeight="1">
      <c r="A27" s="7" t="n">
        <v>1.95</v>
      </c>
      <c r="B27" s="8" t="n">
        <v>0.02777</v>
      </c>
      <c r="C27" s="9" t="inlineStr">
        <is>
          <t>Petit diamant</t>
        </is>
      </c>
    </row>
    <row r="28" ht="16" customHeight="1">
      <c r="A28" s="4" t="n">
        <v>2</v>
      </c>
      <c r="B28" s="5" t="n">
        <v>0.03624</v>
      </c>
      <c r="C28" s="6" t="inlineStr">
        <is>
          <t>Petit diamant</t>
        </is>
      </c>
    </row>
    <row r="29" ht="16" customHeight="1">
      <c r="A29" s="7" t="n">
        <v>2.1</v>
      </c>
      <c r="B29" s="8" t="n">
        <v>0.045</v>
      </c>
      <c r="C29" s="9" t="inlineStr">
        <is>
          <t>Petit diamant</t>
        </is>
      </c>
    </row>
    <row r="30" ht="16" customHeight="1">
      <c r="A30" s="4" t="n">
        <v>2.2</v>
      </c>
      <c r="B30" s="5" t="n">
        <v>0.05</v>
      </c>
      <c r="C30" s="6" t="inlineStr">
        <is>
          <t>Petit diamant</t>
        </is>
      </c>
    </row>
    <row r="31" ht="16" customHeight="1">
      <c r="A31" s="7" t="n">
        <v>2.3</v>
      </c>
      <c r="B31" s="8" t="n">
        <v>0.055</v>
      </c>
      <c r="C31" s="9" t="inlineStr">
        <is>
          <t>Petit diamant</t>
        </is>
      </c>
    </row>
    <row r="32" ht="16" customHeight="1">
      <c r="A32" s="4" t="n">
        <v>2.4</v>
      </c>
      <c r="B32" s="5" t="n">
        <v>0.06</v>
      </c>
      <c r="C32" s="6" t="inlineStr">
        <is>
          <t>Petit diamant</t>
        </is>
      </c>
    </row>
    <row r="33" ht="16" customHeight="1">
      <c r="A33" s="7" t="n">
        <v>2.5</v>
      </c>
      <c r="B33" s="8" t="n">
        <v>0.066</v>
      </c>
      <c r="C33" s="9" t="inlineStr">
        <is>
          <t>Petit diamant</t>
        </is>
      </c>
    </row>
    <row r="34" ht="16" customHeight="1">
      <c r="A34" s="4" t="n">
        <v>2.6</v>
      </c>
      <c r="B34" s="5" t="n">
        <v>0.074</v>
      </c>
      <c r="C34" s="6" t="inlineStr">
        <is>
          <t>Petit diamant</t>
        </is>
      </c>
    </row>
    <row r="35" ht="16" customHeight="1">
      <c r="A35" s="7" t="n">
        <v>2.7</v>
      </c>
      <c r="B35" s="8" t="n">
        <v>0.08</v>
      </c>
      <c r="C35" s="9" t="inlineStr">
        <is>
          <t>Petit diamant</t>
        </is>
      </c>
    </row>
    <row r="36" ht="16" customHeight="1">
      <c r="A36" s="4" t="n">
        <v>2.8</v>
      </c>
      <c r="B36" s="5" t="n">
        <v>0.09</v>
      </c>
      <c r="C36" s="6" t="inlineStr">
        <is>
          <t>Petit diamant</t>
        </is>
      </c>
    </row>
    <row r="37" ht="16" customHeight="1">
      <c r="A37" s="7" t="n">
        <v>2.9</v>
      </c>
      <c r="B37" s="8" t="n">
        <v>0.1</v>
      </c>
      <c r="C37" s="9" t="inlineStr">
        <is>
          <t>Petit diamant</t>
        </is>
      </c>
    </row>
    <row r="38" ht="16" customHeight="1">
      <c r="A38" s="4" t="n">
        <v>3</v>
      </c>
      <c r="B38" s="5" t="n">
        <v>0.11</v>
      </c>
      <c r="C38" s="6" t="inlineStr">
        <is>
          <t>Petit diamant</t>
        </is>
      </c>
    </row>
    <row r="39" ht="16" customHeight="1">
      <c r="A39" s="7" t="n">
        <v>3.1</v>
      </c>
      <c r="B39" s="8" t="n">
        <v>0.12</v>
      </c>
      <c r="C39" s="9" t="inlineStr">
        <is>
          <t>Diamant moyen</t>
        </is>
      </c>
    </row>
    <row r="40" ht="16" customHeight="1">
      <c r="A40" s="4" t="n">
        <v>3.2</v>
      </c>
      <c r="B40" s="5" t="n">
        <v>0.135</v>
      </c>
      <c r="C40" s="6" t="inlineStr">
        <is>
          <t>Diamant moyen</t>
        </is>
      </c>
    </row>
    <row r="41" ht="16" customHeight="1">
      <c r="A41" s="7" t="n">
        <v>3.3</v>
      </c>
      <c r="B41" s="8" t="n">
        <v>0.15</v>
      </c>
      <c r="C41" s="9" t="inlineStr">
        <is>
          <t>Diamant moyen</t>
        </is>
      </c>
    </row>
    <row r="42" ht="16" customHeight="1">
      <c r="A42" s="4" t="n">
        <v>3.4</v>
      </c>
      <c r="B42" s="5" t="n">
        <v>0.16</v>
      </c>
      <c r="C42" s="6" t="inlineStr">
        <is>
          <t>Diamant moyen</t>
        </is>
      </c>
    </row>
    <row r="43" ht="16" customHeight="1">
      <c r="A43" s="7" t="n">
        <v>3.5</v>
      </c>
      <c r="B43" s="8" t="n">
        <v>0.17</v>
      </c>
      <c r="C43" s="9" t="inlineStr">
        <is>
          <t>Diamant moyen</t>
        </is>
      </c>
    </row>
    <row r="44" ht="16" customHeight="1">
      <c r="A44" s="4" t="n">
        <v>3.6</v>
      </c>
      <c r="B44" s="5" t="n">
        <v>0.18</v>
      </c>
      <c r="C44" s="6" t="inlineStr">
        <is>
          <t>Diamant moyen</t>
        </is>
      </c>
    </row>
    <row r="45" ht="16" customHeight="1">
      <c r="A45" s="7" t="n">
        <v>3.7</v>
      </c>
      <c r="B45" s="8" t="n">
        <v>0.2</v>
      </c>
      <c r="C45" s="9" t="inlineStr">
        <is>
          <t>Diamant moyen</t>
        </is>
      </c>
    </row>
    <row r="46" ht="16" customHeight="1">
      <c r="A46" s="4" t="n">
        <v>3.8</v>
      </c>
      <c r="B46" s="5" t="n">
        <v>0.22</v>
      </c>
      <c r="C46" s="6" t="inlineStr">
        <is>
          <t>Diamant moyen</t>
        </is>
      </c>
    </row>
    <row r="47" ht="16" customHeight="1">
      <c r="A47" s="7" t="n">
        <v>3.9</v>
      </c>
      <c r="B47" s="8" t="n">
        <v>0.24</v>
      </c>
      <c r="C47" s="9" t="inlineStr">
        <is>
          <t>Diamant moyen</t>
        </is>
      </c>
    </row>
    <row r="48" ht="16" customHeight="1">
      <c r="A48" s="4" t="n">
        <v>4</v>
      </c>
      <c r="B48" s="5" t="n">
        <v>0.25</v>
      </c>
      <c r="C48" s="6" t="inlineStr">
        <is>
          <t>Diamant moyen</t>
        </is>
      </c>
    </row>
    <row r="49" ht="16" customHeight="1">
      <c r="A49" s="7" t="n">
        <v>4.1</v>
      </c>
      <c r="B49" s="8" t="n">
        <v>0.26</v>
      </c>
      <c r="C49" s="9" t="inlineStr">
        <is>
          <t>Diamant moyen</t>
        </is>
      </c>
    </row>
    <row r="50" ht="16" customHeight="1">
      <c r="A50" s="4" t="n">
        <v>4.2</v>
      </c>
      <c r="B50" s="5" t="n">
        <v>0.28</v>
      </c>
      <c r="C50" s="6" t="inlineStr">
        <is>
          <t>Diamant moyen</t>
        </is>
      </c>
    </row>
    <row r="51" ht="16" customHeight="1">
      <c r="A51" s="7" t="n">
        <v>4.3</v>
      </c>
      <c r="B51" s="8" t="n">
        <v>0.3</v>
      </c>
      <c r="C51" s="9" t="inlineStr">
        <is>
          <t>Diamant moyen</t>
        </is>
      </c>
    </row>
    <row r="52" ht="16" customHeight="1">
      <c r="A52" s="4" t="n">
        <v>4.4</v>
      </c>
      <c r="B52" s="5" t="n">
        <v>0.33</v>
      </c>
      <c r="C52" s="6" t="inlineStr">
        <is>
          <t>Diamant moyen</t>
        </is>
      </c>
    </row>
    <row r="53" ht="16" customHeight="1">
      <c r="A53" s="7" t="n">
        <v>4.5</v>
      </c>
      <c r="B53" s="8" t="n">
        <v>0.35</v>
      </c>
      <c r="C53" s="9" t="inlineStr">
        <is>
          <t>Diamant moyen</t>
        </is>
      </c>
    </row>
    <row r="54" ht="16" customHeight="1">
      <c r="A54" s="4" t="n">
        <v>4.75</v>
      </c>
      <c r="B54" s="5" t="n">
        <v>0.44</v>
      </c>
      <c r="C54" s="6" t="inlineStr">
        <is>
          <t>Diamant moyen</t>
        </is>
      </c>
    </row>
    <row r="55" ht="16" customHeight="1">
      <c r="A55" s="7" t="n">
        <v>5</v>
      </c>
      <c r="B55" s="8" t="n">
        <v>0.46</v>
      </c>
      <c r="C55" s="9" t="inlineStr">
        <is>
          <t>Diamant moyen</t>
        </is>
      </c>
    </row>
    <row r="56" ht="16" customHeight="1">
      <c r="A56" s="4" t="n">
        <v>5.2</v>
      </c>
      <c r="B56" s="5" t="n">
        <v>0.52</v>
      </c>
      <c r="C56" s="6" t="inlineStr">
        <is>
          <t>Beau diamant</t>
        </is>
      </c>
    </row>
    <row r="57" ht="16" customHeight="1">
      <c r="A57" s="7" t="n">
        <v>5.25</v>
      </c>
      <c r="B57" s="8" t="n">
        <v>0.5600000000000001</v>
      </c>
      <c r="C57" s="9" t="inlineStr">
        <is>
          <t>Beau diamant</t>
        </is>
      </c>
    </row>
    <row r="58" ht="16" customHeight="1">
      <c r="A58" s="4" t="n">
        <v>5.5</v>
      </c>
      <c r="B58" s="5" t="n">
        <v>0.66</v>
      </c>
      <c r="C58" s="6" t="inlineStr">
        <is>
          <t>Beau diamant</t>
        </is>
      </c>
    </row>
    <row r="59" ht="16" customHeight="1">
      <c r="A59" s="7" t="n">
        <v>5.75</v>
      </c>
      <c r="B59" s="8" t="n">
        <v>0.76</v>
      </c>
      <c r="C59" s="9" t="inlineStr">
        <is>
          <t>Beau diamant</t>
        </is>
      </c>
    </row>
    <row r="60" ht="16" customHeight="1">
      <c r="A60" s="4" t="n">
        <v>6</v>
      </c>
      <c r="B60" s="5" t="n">
        <v>0.84</v>
      </c>
      <c r="C60" s="6" t="inlineStr">
        <is>
          <t>Beau diamant</t>
        </is>
      </c>
    </row>
    <row r="61" ht="16" customHeight="1">
      <c r="A61" s="7" t="n">
        <v>6.25</v>
      </c>
      <c r="B61" s="8" t="n">
        <v>0.93</v>
      </c>
      <c r="C61" s="9" t="inlineStr">
        <is>
          <t>Beau diamant</t>
        </is>
      </c>
    </row>
    <row r="62" ht="16" customHeight="1">
      <c r="A62" s="4" t="n">
        <v>6.5</v>
      </c>
      <c r="B62" s="5" t="n">
        <v>1.03</v>
      </c>
      <c r="C62" s="6" t="inlineStr">
        <is>
          <t>Beau diamant</t>
        </is>
      </c>
    </row>
    <row r="63" ht="16" customHeight="1">
      <c r="A63" s="7" t="n">
        <v>6.75</v>
      </c>
      <c r="B63" s="8" t="n">
        <v>1.24</v>
      </c>
      <c r="C63" s="9" t="inlineStr">
        <is>
          <t>Beau diamant</t>
        </is>
      </c>
    </row>
    <row r="64" ht="16" customHeight="1">
      <c r="A64" s="4" t="n">
        <v>7</v>
      </c>
      <c r="B64" s="5" t="n">
        <v>1.28</v>
      </c>
      <c r="C64" s="6" t="inlineStr">
        <is>
          <t>Beau diamant</t>
        </is>
      </c>
    </row>
    <row r="65" ht="16" customHeight="1">
      <c r="A65" s="7" t="n">
        <v>7.25</v>
      </c>
      <c r="B65" s="8" t="n">
        <v>1.49</v>
      </c>
      <c r="C65" s="9" t="inlineStr">
        <is>
          <t>Beau diamant</t>
        </is>
      </c>
    </row>
    <row r="66" ht="16" customHeight="1">
      <c r="A66" s="4" t="n">
        <v>7.5</v>
      </c>
      <c r="B66" s="5" t="n">
        <v>1.67</v>
      </c>
      <c r="C66" s="6" t="inlineStr">
        <is>
          <t>Beau diamant</t>
        </is>
      </c>
    </row>
    <row r="67" ht="16" customHeight="1">
      <c r="A67" s="7" t="n">
        <v>7.75</v>
      </c>
      <c r="B67" s="8" t="n">
        <v>1.75</v>
      </c>
      <c r="C67" s="9" t="inlineStr">
        <is>
          <t>Beau diamant</t>
        </is>
      </c>
    </row>
    <row r="68" ht="16" customHeight="1">
      <c r="A68" s="4" t="n">
        <v>8</v>
      </c>
      <c r="B68" s="5" t="n">
        <v>2.04</v>
      </c>
      <c r="C68" s="6" t="inlineStr">
        <is>
          <t>Beau diamant</t>
        </is>
      </c>
    </row>
    <row r="69" ht="16" customHeight="1">
      <c r="A69" s="7" t="n">
        <v>8.25</v>
      </c>
      <c r="B69" s="8" t="n">
        <v>2.11</v>
      </c>
      <c r="C69" s="9" t="inlineStr">
        <is>
          <t>Grand diamant / Pierre centrale</t>
        </is>
      </c>
    </row>
    <row r="70" ht="16" customHeight="1">
      <c r="A70" s="4" t="n">
        <v>8.5</v>
      </c>
      <c r="B70" s="5" t="n">
        <v>2.43</v>
      </c>
      <c r="C70" s="6" t="inlineStr">
        <is>
          <t>Grand diamant / Pierre centrale</t>
        </is>
      </c>
    </row>
    <row r="71" ht="16" customHeight="1">
      <c r="A71" s="7" t="n">
        <v>8.75</v>
      </c>
      <c r="B71" s="8" t="n">
        <v>2.55</v>
      </c>
      <c r="C71" s="9" t="inlineStr">
        <is>
          <t>Grand diamant / Pierre centrale</t>
        </is>
      </c>
    </row>
    <row r="72" ht="16" customHeight="1">
      <c r="A72" s="4" t="n">
        <v>9</v>
      </c>
      <c r="B72" s="5" t="n">
        <v>2.75</v>
      </c>
      <c r="C72" s="6" t="inlineStr">
        <is>
          <t>Grand diamant / Pierre centrale</t>
        </is>
      </c>
    </row>
    <row r="73" ht="16" customHeight="1">
      <c r="A73" s="7" t="n">
        <v>9.25</v>
      </c>
      <c r="B73" s="8" t="n">
        <v>3.05</v>
      </c>
      <c r="C73" s="9" t="inlineStr">
        <is>
          <t>Grand diamant / Pierre centrale</t>
        </is>
      </c>
    </row>
    <row r="74" ht="16" customHeight="1">
      <c r="A74" s="4" t="n">
        <v>9.5</v>
      </c>
      <c r="B74" s="5" t="n">
        <v>3.35</v>
      </c>
      <c r="C74" s="6" t="inlineStr">
        <is>
          <t>Grand diamant / Pierre centrale</t>
        </is>
      </c>
    </row>
    <row r="75" ht="16" customHeight="1">
      <c r="A75" s="7" t="n">
        <v>9.75</v>
      </c>
      <c r="B75" s="8" t="n">
        <v>3.61</v>
      </c>
      <c r="C75" s="9" t="inlineStr">
        <is>
          <t>Grand diamant / Pierre centrale</t>
        </is>
      </c>
    </row>
    <row r="76" ht="16" customHeight="1">
      <c r="A76" s="4" t="n">
        <v>10</v>
      </c>
      <c r="B76" s="5" t="n">
        <v>3.87</v>
      </c>
      <c r="C76" s="6" t="inlineStr">
        <is>
          <t>Grand diamant / Pierre centrale</t>
        </is>
      </c>
    </row>
    <row r="77" ht="16" customHeight="1">
      <c r="A77" s="7" t="n">
        <v>10.25</v>
      </c>
      <c r="B77" s="8" t="n">
        <v>4.16</v>
      </c>
      <c r="C77" s="9" t="inlineStr">
        <is>
          <t>Grand diamant / Pierre centrale</t>
        </is>
      </c>
    </row>
    <row r="78" ht="16" customHeight="1">
      <c r="A78" s="4" t="n">
        <v>10.5</v>
      </c>
      <c r="B78" s="5" t="n">
        <v>4.41</v>
      </c>
      <c r="C78" s="6" t="inlineStr">
        <is>
          <t>Grand diamant / Pierre centrale</t>
        </is>
      </c>
    </row>
    <row r="79" ht="16" customHeight="1">
      <c r="A79" s="7" t="n">
        <v>10.75</v>
      </c>
      <c r="B79" s="8" t="n">
        <v>4.57</v>
      </c>
      <c r="C79" s="9" t="inlineStr">
        <is>
          <t>Grand diamant / Pierre centrale</t>
        </is>
      </c>
    </row>
    <row r="80" ht="16" customHeight="1">
      <c r="A80" s="4" t="n">
        <v>11</v>
      </c>
      <c r="B80" s="5" t="n">
        <v>4.91</v>
      </c>
      <c r="C80" s="6" t="inlineStr">
        <is>
          <t>Grand diamant / Pierre centrale</t>
        </is>
      </c>
    </row>
    <row r="81" ht="16" customHeight="1">
      <c r="A81" s="7" t="n">
        <v>11.25</v>
      </c>
      <c r="B81" s="8" t="n">
        <v>5.49</v>
      </c>
      <c r="C81" s="9" t="inlineStr">
        <is>
          <t>Grand diamant / Pierre centrale</t>
        </is>
      </c>
    </row>
    <row r="82" ht="16" customHeight="1">
      <c r="A82" s="4" t="n">
        <v>11.5</v>
      </c>
      <c r="B82" s="5" t="n">
        <v>5.85</v>
      </c>
      <c r="C82" s="6" t="inlineStr">
        <is>
          <t>Grand diamant / Pierre centrale</t>
        </is>
      </c>
    </row>
    <row r="83" ht="16" customHeight="1">
      <c r="A83" s="7" t="n">
        <v>11.75</v>
      </c>
      <c r="B83" s="8" t="n">
        <v>6.47</v>
      </c>
      <c r="C83" s="9" t="inlineStr">
        <is>
          <t>Grand diamant / Pierre centrale</t>
        </is>
      </c>
    </row>
    <row r="84" ht="16" customHeight="1">
      <c r="A84" s="4" t="n">
        <v>12</v>
      </c>
      <c r="B84" s="5" t="n">
        <v>6.84</v>
      </c>
      <c r="C84" s="6" t="inlineStr">
        <is>
          <t>Grand diamant / Pierre centrale</t>
        </is>
      </c>
    </row>
    <row r="85" ht="16" customHeight="1">
      <c r="A85" s="7" t="n">
        <v>12.25</v>
      </c>
      <c r="B85" s="8" t="n">
        <v>7.26</v>
      </c>
      <c r="C85" s="9" t="inlineStr">
        <is>
          <t>Grand diamant / Pierre centrale</t>
        </is>
      </c>
    </row>
    <row r="86" ht="16" customHeight="1">
      <c r="A86" s="4" t="n">
        <v>12.5</v>
      </c>
      <c r="B86" s="5" t="n">
        <v>7.36</v>
      </c>
      <c r="C86" s="6" t="inlineStr">
        <is>
          <t>Grand diamant / Pierre centrale</t>
        </is>
      </c>
    </row>
    <row r="87" ht="16" customHeight="1">
      <c r="A87" s="7" t="n">
        <v>12.75</v>
      </c>
      <c r="B87" s="8" t="n">
        <v>7.52</v>
      </c>
      <c r="C87" s="9" t="inlineStr">
        <is>
          <t>Grand diamant / Pierre centrale</t>
        </is>
      </c>
    </row>
    <row r="88" ht="16" customHeight="1">
      <c r="A88" s="4" t="n">
        <v>13</v>
      </c>
      <c r="B88" s="5" t="n">
        <v>8.51</v>
      </c>
      <c r="C88" s="6" t="inlineStr">
        <is>
          <t>Grand diamant / Pierre centrale</t>
        </is>
      </c>
    </row>
    <row r="89" ht="16" customHeight="1">
      <c r="A89" s="7" t="n">
        <v>13.5</v>
      </c>
      <c r="B89" s="8" t="n">
        <v>9.529999999999999</v>
      </c>
      <c r="C89" s="9" t="inlineStr">
        <is>
          <t>Grand diamant / Pierre centrale</t>
        </is>
      </c>
    </row>
    <row r="90" ht="16" customHeight="1">
      <c r="A90" s="4" t="n">
        <v>14</v>
      </c>
      <c r="B90" s="5" t="n">
        <v>10.49</v>
      </c>
      <c r="C90" s="6" t="inlineStr">
        <is>
          <t>Grand diamant / Pierre centrale</t>
        </is>
      </c>
    </row>
    <row r="91" ht="16" customHeight="1">
      <c r="A91" s="7" t="n">
        <v>15</v>
      </c>
      <c r="B91" s="8" t="n">
        <v>12.89</v>
      </c>
      <c r="C91" s="9" t="inlineStr">
        <is>
          <t>Grand diamant / Pierre centrale</t>
        </is>
      </c>
    </row>
    <row r="92" ht="16" customHeight="1">
      <c r="A92" s="4" t="n">
        <v>16</v>
      </c>
      <c r="B92" s="5" t="n">
        <v>16.16</v>
      </c>
      <c r="C92" s="6" t="inlineStr">
        <is>
          <t>Grand diamant / Pierre centrale</t>
        </is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4" customWidth="1" min="3" max="3"/>
    <col width="42" customWidth="1" min="4" max="4"/>
  </cols>
  <sheetData>
    <row r="1" ht="35" customHeight="1">
      <c r="A1" s="10" t="inlineStr">
        <is>
          <t>COURS DU MARCHÉ — BIJOU-R</t>
        </is>
      </c>
    </row>
    <row r="2" ht="22" customHeight="1">
      <c r="A2" s="11" t="inlineStr">
        <is>
          <t>⚠  Mettez à jour les cellules jaunes pour recalculer automatiquement tous les prix</t>
        </is>
      </c>
    </row>
    <row r="3" ht="20" customHeight="1">
      <c r="A3" s="12" t="inlineStr">
        <is>
          <t>OR</t>
        </is>
      </c>
    </row>
    <row r="4" ht="18" customHeight="1">
      <c r="A4" s="13" t="inlineStr">
        <is>
          <t>Paramètre</t>
        </is>
      </c>
      <c r="B4" s="13" t="inlineStr">
        <is>
          <t>Valeur</t>
        </is>
      </c>
      <c r="C4" s="13" t="inlineStr">
        <is>
          <t>Unité</t>
        </is>
      </c>
      <c r="D4" s="13" t="inlineStr">
        <is>
          <t>Note</t>
        </is>
      </c>
    </row>
    <row r="5" ht="18" customHeight="1">
      <c r="A5" s="14" t="inlineStr">
        <is>
          <t>Cours de l'or</t>
        </is>
      </c>
      <c r="B5" s="15" t="n">
        <v>85</v>
      </c>
      <c r="C5" s="16" t="inlineStr">
        <is>
          <t>€ / gramme</t>
        </is>
      </c>
      <c r="D5" s="17" t="inlineStr">
        <is>
          <t>Prix spot international. Consulter kitco.com ou goldprice.org</t>
        </is>
      </c>
    </row>
    <row r="6" ht="20" customHeight="1">
      <c r="A6" s="18" t="inlineStr">
        <is>
          <t>DIAMANTS NATURELS</t>
        </is>
      </c>
    </row>
    <row r="7" ht="18" customHeight="1">
      <c r="A7" s="19" t="inlineStr">
        <is>
          <t>Paramètre</t>
        </is>
      </c>
      <c r="B7" s="19" t="inlineStr">
        <is>
          <t>Valeur</t>
        </is>
      </c>
      <c r="C7" s="19" t="inlineStr">
        <is>
          <t>Unité</t>
        </is>
      </c>
      <c r="D7" s="19" t="inlineStr">
        <is>
          <t>Note</t>
        </is>
      </c>
    </row>
    <row r="8" ht="18" customHeight="1">
      <c r="A8" s="20" t="inlineStr">
        <is>
          <t>Naturel — N1 Essentiel</t>
        </is>
      </c>
      <c r="B8" s="21" t="n">
        <v>1800</v>
      </c>
      <c r="C8" s="22" t="inlineStr">
        <is>
          <t>€ / carat</t>
        </is>
      </c>
      <c r="D8" s="23" t="inlineStr">
        <is>
          <t>H-I / SI1-SI2</t>
        </is>
      </c>
    </row>
    <row r="9" ht="18" customHeight="1">
      <c r="A9" s="20" t="inlineStr">
        <is>
          <t>Naturel — N2 Sélection</t>
        </is>
      </c>
      <c r="B9" s="21" t="n">
        <v>3500</v>
      </c>
      <c r="C9" s="22" t="inlineStr">
        <is>
          <t>€ / carat</t>
        </is>
      </c>
      <c r="D9" s="23" t="inlineStr">
        <is>
          <t>G-H / VS2</t>
        </is>
      </c>
    </row>
    <row r="10" ht="18" customHeight="1">
      <c r="A10" s="20" t="inlineStr">
        <is>
          <t>Naturel — N3 Prestige</t>
        </is>
      </c>
      <c r="B10" s="21" t="n">
        <v>6200</v>
      </c>
      <c r="C10" s="22" t="inlineStr">
        <is>
          <t>€ / carat</t>
        </is>
      </c>
      <c r="D10" s="23" t="inlineStr">
        <is>
          <t>F-G / VS1</t>
        </is>
      </c>
    </row>
    <row r="11" ht="18" customHeight="1">
      <c r="A11" s="20" t="inlineStr">
        <is>
          <t>Naturel — N4 Excellence</t>
        </is>
      </c>
      <c r="B11" s="21" t="n">
        <v>10500</v>
      </c>
      <c r="C11" s="22" t="inlineStr">
        <is>
          <t>€ / carat</t>
        </is>
      </c>
      <c r="D11" s="23" t="inlineStr">
        <is>
          <t>E-F / VVS1-VVS2</t>
        </is>
      </c>
    </row>
    <row r="12" ht="18" customHeight="1">
      <c r="A12" s="20" t="inlineStr">
        <is>
          <t>Naturel — N5 Exception</t>
        </is>
      </c>
      <c r="B12" s="21" t="n">
        <v>18000</v>
      </c>
      <c r="C12" s="22" t="inlineStr">
        <is>
          <t>€ / carat</t>
        </is>
      </c>
      <c r="D12" s="23" t="inlineStr">
        <is>
          <t>D / IF — collector</t>
        </is>
      </c>
    </row>
    <row r="13" ht="20" customHeight="1">
      <c r="A13" s="24" t="inlineStr">
        <is>
          <t>DIAMANTS DE LABORATOIRE</t>
        </is>
      </c>
    </row>
    <row r="14" ht="18" customHeight="1">
      <c r="A14" s="25" t="inlineStr">
        <is>
          <t>Paramètre</t>
        </is>
      </c>
      <c r="B14" s="25" t="inlineStr">
        <is>
          <t>Valeur</t>
        </is>
      </c>
      <c r="C14" s="25" t="inlineStr">
        <is>
          <t>Unité</t>
        </is>
      </c>
      <c r="D14" s="25" t="inlineStr">
        <is>
          <t>Note</t>
        </is>
      </c>
    </row>
    <row r="15" ht="18" customHeight="1">
      <c r="A15" s="26" t="inlineStr">
        <is>
          <t>Labo — L1 Essentiel</t>
        </is>
      </c>
      <c r="B15" s="27" t="n">
        <v>420</v>
      </c>
      <c r="C15" s="28" t="inlineStr">
        <is>
          <t>€ / carat</t>
        </is>
      </c>
      <c r="D15" s="29" t="inlineStr">
        <is>
          <t>H-I / SI1-SI2</t>
        </is>
      </c>
    </row>
    <row r="16" ht="18" customHeight="1">
      <c r="A16" s="26" t="inlineStr">
        <is>
          <t>Labo — L2 Sélection</t>
        </is>
      </c>
      <c r="B16" s="27" t="n">
        <v>780</v>
      </c>
      <c r="C16" s="28" t="inlineStr">
        <is>
          <t>€ / carat</t>
        </is>
      </c>
      <c r="D16" s="29" t="inlineStr">
        <is>
          <t>G-H / VS2</t>
        </is>
      </c>
    </row>
    <row r="17" ht="18" customHeight="1">
      <c r="A17" s="26" t="inlineStr">
        <is>
          <t>Labo — L3 Prestige</t>
        </is>
      </c>
      <c r="B17" s="27" t="n">
        <v>1300</v>
      </c>
      <c r="C17" s="28" t="inlineStr">
        <is>
          <t>€ / carat</t>
        </is>
      </c>
      <c r="D17" s="29" t="inlineStr">
        <is>
          <t>F-G / VS1</t>
        </is>
      </c>
    </row>
    <row r="18" ht="18" customHeight="1">
      <c r="A18" s="26" t="inlineStr">
        <is>
          <t>Labo — L4 Excellence</t>
        </is>
      </c>
      <c r="B18" s="27" t="n">
        <v>2100</v>
      </c>
      <c r="C18" s="28" t="inlineStr">
        <is>
          <t>€ / carat</t>
        </is>
      </c>
      <c r="D18" s="29" t="inlineStr">
        <is>
          <t>E-F / VVS1-VVS2</t>
        </is>
      </c>
    </row>
    <row r="19" ht="18" customHeight="1">
      <c r="A19" s="26" t="inlineStr">
        <is>
          <t>Labo — L5 Exception</t>
        </is>
      </c>
      <c r="B19" s="27" t="n">
        <v>3500</v>
      </c>
      <c r="C19" s="28" t="inlineStr">
        <is>
          <t>€ / carat</t>
        </is>
      </c>
      <c r="D19" s="29" t="inlineStr">
        <is>
          <t>D / IF</t>
        </is>
      </c>
    </row>
  </sheetData>
  <mergeCells count="5">
    <mergeCell ref="A1:D1"/>
    <mergeCell ref="A6:D6"/>
    <mergeCell ref="A3:D3"/>
    <mergeCell ref="A2:D2"/>
    <mergeCell ref="A13:D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D9D9D9"/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4" customWidth="1" min="3" max="3"/>
    <col width="42" customWidth="1" min="4" max="4"/>
  </cols>
  <sheetData>
    <row r="1" ht="35" customHeight="1">
      <c r="A1" s="30" t="inlineStr">
        <is>
          <t>CONFIGURATION — PARAMÈTRES FIXES</t>
        </is>
      </c>
    </row>
    <row r="2" ht="20" customHeight="1">
      <c r="A2" s="31" t="inlineStr">
        <is>
          <t>OR &amp; MÉTAUX</t>
        </is>
      </c>
    </row>
    <row r="3" ht="18" customHeight="1">
      <c r="A3" s="32" t="inlineStr">
        <is>
          <t>Paramètre</t>
        </is>
      </c>
      <c r="B3" s="32" t="inlineStr">
        <is>
          <t>Valeur</t>
        </is>
      </c>
      <c r="C3" s="32" t="inlineStr">
        <is>
          <t>Unité</t>
        </is>
      </c>
      <c r="D3" s="32" t="inlineStr">
        <is>
          <t>Note</t>
        </is>
      </c>
    </row>
    <row r="4" ht="18" customHeight="1">
      <c r="A4" s="33" t="inlineStr">
        <is>
          <t>Pureté or 18k</t>
        </is>
      </c>
      <c r="B4" s="34" t="n">
        <v>0.75</v>
      </c>
      <c r="C4" s="35" t="inlineStr">
        <is>
          <t>facteur</t>
        </is>
      </c>
      <c r="D4" s="36" t="inlineStr">
        <is>
          <t>75% or pur dans alliage 18k</t>
        </is>
      </c>
    </row>
    <row r="5" ht="18" customHeight="1">
      <c r="A5" s="33" t="inlineStr">
        <is>
          <t>Supplément or blanc (rhodium)</t>
        </is>
      </c>
      <c r="B5" s="37" t="n">
        <v>0.08</v>
      </c>
      <c r="C5" s="35" t="inlineStr">
        <is>
          <t>facteur +%</t>
        </is>
      </c>
      <c r="D5" s="36" t="inlineStr">
        <is>
          <t>Coût plaquage rhodium</t>
        </is>
      </c>
    </row>
    <row r="6" ht="18" customHeight="1">
      <c r="A6" s="33" t="inlineStr">
        <is>
          <t>Supplément or rose</t>
        </is>
      </c>
      <c r="B6" s="37" t="n">
        <v>0.02</v>
      </c>
      <c r="C6" s="35" t="inlineStr">
        <is>
          <t>facteur +%</t>
        </is>
      </c>
      <c r="D6" s="36" t="inlineStr">
        <is>
          <t>Alliage cuivre</t>
        </is>
      </c>
    </row>
    <row r="7" ht="20" customHeight="1">
      <c r="A7" s="38" t="inlineStr">
        <is>
          <t>FABRICATION</t>
        </is>
      </c>
    </row>
    <row r="8" ht="18" customHeight="1">
      <c r="A8" s="39" t="inlineStr">
        <is>
          <t>Paramètre</t>
        </is>
      </c>
      <c r="B8" s="39" t="inlineStr">
        <is>
          <t>Valeur</t>
        </is>
      </c>
      <c r="C8" s="39" t="inlineStr">
        <is>
          <t>Unité</t>
        </is>
      </c>
      <c r="D8" s="39" t="inlineStr">
        <is>
          <t>Note</t>
        </is>
      </c>
    </row>
    <row r="9" ht="18" customHeight="1">
      <c r="A9" s="33" t="inlineStr">
        <is>
          <t>Main d'œuvre par défaut</t>
        </is>
      </c>
      <c r="B9" s="40" t="n">
        <v>180</v>
      </c>
      <c r="C9" s="35" t="inlineStr">
        <is>
          <t>€</t>
        </is>
      </c>
      <c r="D9" s="36" t="inlineStr">
        <is>
          <t>Modifiable ligne par ligne dans le catalogue</t>
        </is>
      </c>
    </row>
    <row r="10" ht="18" customHeight="1">
      <c r="A10" s="33" t="inlineStr">
        <is>
          <t>Frais fixes (écrin, cert)</t>
        </is>
      </c>
      <c r="B10" s="40" t="n">
        <v>25</v>
      </c>
      <c r="C10" s="35" t="inlineStr">
        <is>
          <t>€</t>
        </is>
      </c>
      <c r="D10" s="36" t="inlineStr">
        <is>
          <t>Emballage, certificat, écrin</t>
        </is>
      </c>
    </row>
    <row r="11" ht="20" customHeight="1">
      <c r="A11" s="41" t="inlineStr">
        <is>
          <t>TARIFICATION</t>
        </is>
      </c>
    </row>
    <row r="12" ht="18" customHeight="1">
      <c r="A12" s="42" t="inlineStr">
        <is>
          <t>Paramètre</t>
        </is>
      </c>
      <c r="B12" s="42" t="inlineStr">
        <is>
          <t>Valeur</t>
        </is>
      </c>
      <c r="C12" s="42" t="inlineStr">
        <is>
          <t>Unité</t>
        </is>
      </c>
      <c r="D12" s="42" t="inlineStr">
        <is>
          <t>Note</t>
        </is>
      </c>
    </row>
    <row r="13" ht="18" customHeight="1">
      <c r="A13" s="33" t="inlineStr">
        <is>
          <t>Coefficient de marge</t>
        </is>
      </c>
      <c r="B13" s="43" t="n">
        <v>2.8</v>
      </c>
      <c r="C13" s="35" t="inlineStr">
        <is>
          <t>×</t>
        </is>
      </c>
      <c r="D13" s="36" t="inlineStr">
        <is>
          <t>Prix HT = prix revient × coefficient</t>
        </is>
      </c>
    </row>
    <row r="14" ht="18" customHeight="1">
      <c r="A14" s="33" t="inlineStr">
        <is>
          <t>TVA</t>
        </is>
      </c>
      <c r="B14" s="44" t="n">
        <v>0.2</v>
      </c>
      <c r="C14" s="35" t="inlineStr">
        <is>
          <t>%</t>
        </is>
      </c>
      <c r="D14" s="36" t="inlineStr">
        <is>
          <t>20% — France</t>
        </is>
      </c>
    </row>
  </sheetData>
  <mergeCells count="4">
    <mergeCell ref="A1:D1"/>
    <mergeCell ref="A7:D7"/>
    <mergeCell ref="A2:D2"/>
    <mergeCell ref="A11:D1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D700"/>
    <outlinePr summaryBelow="1" summaryRight="1"/>
    <pageSetUpPr/>
  </sheetPr>
  <dimension ref="A1:X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6" customWidth="1" min="3" max="3"/>
    <col width="12" customWidth="1" min="4" max="4"/>
    <col width="12" customWidth="1" min="5" max="5"/>
    <col width="18" customWidth="1" min="6" max="6"/>
    <col width="9" customWidth="1" min="7" max="7"/>
    <col width="8" customWidth="1" min="8" max="8"/>
    <col width="9" customWidth="1" min="9" max="9"/>
    <col width="8" customWidth="1" min="10" max="10"/>
    <col width="9" customWidth="1" min="11" max="11"/>
    <col width="8" customWidth="1" min="12" max="12"/>
    <col width="9" customWidth="1" min="13" max="13"/>
    <col width="8" customWidth="1" min="14" max="14"/>
    <col width="9" customWidth="1" min="15" max="15"/>
    <col width="8" customWidth="1" min="16" max="16"/>
    <col width="13" customWidth="1" min="17" max="17"/>
    <col width="12" customWidth="1" min="18" max="18"/>
    <col width="14" customWidth="1" min="19" max="19"/>
    <col width="13" customWidth="1" min="20" max="20"/>
    <col width="13" customWidth="1" min="21" max="21"/>
    <col width="14" customWidth="1" min="22" max="22"/>
    <col width="13" customWidth="1" min="23" max="23"/>
    <col width="14" customWidth="1" min="24" max="24"/>
  </cols>
  <sheetData>
    <row r="1" ht="35" customHeight="1">
      <c r="A1" s="10" t="inlineStr">
        <is>
          <t>CATALOGUE PRODUITS — BIJOU-R</t>
        </is>
      </c>
    </row>
    <row r="2" ht="22" customHeight="1">
      <c r="A2" s="45" t="inlineStr">
        <is>
          <t>IDENTITÉ PRODUIT</t>
        </is>
      </c>
      <c r="D2" s="46" t="inlineStr">
        <is>
          <t>MATIÈRES</t>
        </is>
      </c>
      <c r="G2" s="47" t="inlineStr">
        <is>
          <t>GROUPES DIAMANTS  (mm × quantité)</t>
        </is>
      </c>
      <c r="Q2" s="48" t="inlineStr">
        <is>
          <t>POIDS &amp; FABRICATION</t>
        </is>
      </c>
      <c r="T2" s="49" t="inlineStr">
        <is>
          <t>COÛTS MATIÈRES</t>
        </is>
      </c>
      <c r="V2" s="50" t="inlineStr">
        <is>
          <t>PRIX CALCULÉS  ✦  ne pas modifier</t>
        </is>
      </c>
    </row>
    <row r="3" ht="36" customHeight="1">
      <c r="A3" s="51" t="inlineStr">
        <is>
          <t>Référence</t>
        </is>
      </c>
      <c r="B3" s="51" t="inlineStr">
        <is>
          <t>Nom modèle</t>
        </is>
      </c>
      <c r="C3" s="51" t="inlineStr">
        <is>
          <t>Collection</t>
        </is>
      </c>
      <c r="D3" s="52" t="inlineStr">
        <is>
          <t>Métal</t>
        </is>
      </c>
      <c r="E3" s="52" t="inlineStr">
        <is>
          <t>Type diamant</t>
        </is>
      </c>
      <c r="F3" s="52" t="inlineStr">
        <is>
          <t>Niveau</t>
        </is>
      </c>
      <c r="G3" s="53" t="inlineStr">
        <is>
          <t>G1 mm</t>
        </is>
      </c>
      <c r="H3" s="53" t="inlineStr">
        <is>
          <t>G1 qté</t>
        </is>
      </c>
      <c r="I3" s="53" t="inlineStr">
        <is>
          <t>G2 mm</t>
        </is>
      </c>
      <c r="J3" s="53" t="inlineStr">
        <is>
          <t>G2 qté</t>
        </is>
      </c>
      <c r="K3" s="53" t="inlineStr">
        <is>
          <t>G3 mm</t>
        </is>
      </c>
      <c r="L3" s="53" t="inlineStr">
        <is>
          <t>G3 qté</t>
        </is>
      </c>
      <c r="M3" s="53" t="inlineStr">
        <is>
          <t>G4 mm</t>
        </is>
      </c>
      <c r="N3" s="53" t="inlineStr">
        <is>
          <t>G4 qté</t>
        </is>
      </c>
      <c r="O3" s="53" t="inlineStr">
        <is>
          <t>G5 mm</t>
        </is>
      </c>
      <c r="P3" s="53" t="inlineStr">
        <is>
          <t>G5 qté</t>
        </is>
      </c>
      <c r="Q3" s="54" t="inlineStr">
        <is>
          <t>Carats
(calculés)</t>
        </is>
      </c>
      <c r="R3" s="54" t="inlineStr">
        <is>
          <t>Poids
or (g)</t>
        </is>
      </c>
      <c r="S3" s="54" t="inlineStr">
        <is>
          <t>Main
d'œuvre €</t>
        </is>
      </c>
      <c r="T3" s="55" t="inlineStr">
        <is>
          <t>Coût
or €</t>
        </is>
      </c>
      <c r="U3" s="55" t="inlineStr">
        <is>
          <t>Coût
diam €</t>
        </is>
      </c>
      <c r="V3" s="56" t="inlineStr">
        <is>
          <t>Revient
€</t>
        </is>
      </c>
      <c r="W3" s="56" t="inlineStr">
        <is>
          <t>Prix
HT €</t>
        </is>
      </c>
      <c r="X3" s="56" t="inlineStr">
        <is>
          <t>Prix
TTC €</t>
        </is>
      </c>
    </row>
    <row r="4" ht="20" customHeight="1">
      <c r="A4" s="57" t="inlineStr">
        <is>
          <t>1001-OB-N</t>
        </is>
      </c>
      <c r="B4" s="58" t="inlineStr">
        <is>
          <t>Modèle 1001</t>
        </is>
      </c>
      <c r="C4" s="58" t="inlineStr">
        <is>
          <t>Pavé</t>
        </is>
      </c>
      <c r="D4" s="59" t="inlineStr">
        <is>
          <t>Or blanc</t>
        </is>
      </c>
      <c r="E4" s="59" t="inlineStr">
        <is>
          <t>Naturel</t>
        </is>
      </c>
      <c r="F4" s="60" t="inlineStr">
        <is>
          <t>N3 Prestige</t>
        </is>
      </c>
      <c r="G4" s="4" t="n">
        <v>5.2</v>
      </c>
      <c r="H4" s="61" t="n">
        <v>1</v>
      </c>
      <c r="I4" s="4" t="n">
        <v>3.5</v>
      </c>
      <c r="J4" s="61" t="n">
        <v>2</v>
      </c>
      <c r="K4" s="4" t="n">
        <v>1.8</v>
      </c>
      <c r="L4" s="61" t="n">
        <v>6</v>
      </c>
      <c r="M4" s="4" t="n">
        <v>1.6</v>
      </c>
      <c r="N4" s="61" t="n">
        <v>16</v>
      </c>
      <c r="O4" s="4" t="n">
        <v>1.5</v>
      </c>
      <c r="P4" s="61" t="n">
        <v>24</v>
      </c>
      <c r="Q4" s="62">
        <f>ROUND(IF(G4="",0,IFERROR(VLOOKUP(G4,TABLE_POIDS!$A:$B,2,1),0)*IF(H4="",0,H4))+IF(I4="",0,IFERROR(VLOOKUP(I4,TABLE_POIDS!$A:$B,2,1),0)*IF(J4="",0,J4))+IF(K4="",0,IFERROR(VLOOKUP(K4,TABLE_POIDS!$A:$B,2,1),0)*IF(L4="",0,L4))+IF(M4="",0,IFERROR(VLOOKUP(M4,TABLE_POIDS!$A:$B,2,1),0)*IF(N4="",0,N4))+IF(O4="",0,IFERROR(VLOOKUP(O4,TABLE_POIDS!$A:$B,2,1),0)*IF(P4="",0,P4)),3)</f>
        <v/>
      </c>
      <c r="R4" s="63" t="n">
        <v>3.8</v>
      </c>
      <c r="S4" s="64">
        <f>CONFIG!$B$9</f>
        <v/>
      </c>
      <c r="T4" s="65">
        <f>ROUND(R4*COURS!$B$6*CONFIG!$B$5*IF(D4="Or blanc",1+CONFIG!$B$6,IF(D4="Or rose",1+CONFIG!$B$7,1)),2)</f>
        <v/>
      </c>
      <c r="U4" s="65">
        <f>ROUND(Q4*IF(E4="Naturel",IF(F4="N1 Essentiel",COURS!$B$9,IF(F4="N2 Sélection",COURS!$B$10,IF(F4="N3 Prestige",COURS!$B$11,IF(F4="N4 Excellence",COURS!$B$12,IF(F4="N5 Exception",COURS!$B$13,0))))),IF(F4="L1 Essentiel",COURS!$B$17,IF(F4="L2 Sélection",COURS!$B$18,IF(F4="L3 Prestige",COURS!$B$19,IF(F4="L4 Excellence",COURS!$B$20,IF(F4="L5 Exception",COURS!$B$21,0)))))),2)</f>
        <v/>
      </c>
      <c r="V4" s="66">
        <f>ROUND(T4+U4+S4+CONFIG!$B$10,2)</f>
        <v/>
      </c>
      <c r="W4" s="66">
        <f>ROUND(V4*CONFIG!$B$12,2)</f>
        <v/>
      </c>
      <c r="X4" s="15">
        <f>ROUND(W4*(1+CONFIG!$B$13),2)</f>
        <v/>
      </c>
    </row>
    <row r="5" ht="20" customHeight="1">
      <c r="A5" s="67" t="inlineStr">
        <is>
          <t>1001-OB-L</t>
        </is>
      </c>
      <c r="B5" s="68" t="inlineStr">
        <is>
          <t>Modèle 1001</t>
        </is>
      </c>
      <c r="C5" s="68" t="inlineStr">
        <is>
          <t>Pavé</t>
        </is>
      </c>
      <c r="D5" s="59" t="inlineStr">
        <is>
          <t>Or blanc</t>
        </is>
      </c>
      <c r="E5" s="69" t="inlineStr">
        <is>
          <t>Labo</t>
        </is>
      </c>
      <c r="F5" s="70" t="inlineStr">
        <is>
          <t>L3 Prestige</t>
        </is>
      </c>
      <c r="G5" s="4" t="n">
        <v>5.2</v>
      </c>
      <c r="H5" s="61" t="n">
        <v>1</v>
      </c>
      <c r="I5" s="4" t="n">
        <v>3.5</v>
      </c>
      <c r="J5" s="61" t="n">
        <v>2</v>
      </c>
      <c r="K5" s="4" t="n">
        <v>1.8</v>
      </c>
      <c r="L5" s="61" t="n">
        <v>6</v>
      </c>
      <c r="M5" s="4" t="n">
        <v>1.6</v>
      </c>
      <c r="N5" s="61" t="n">
        <v>16</v>
      </c>
      <c r="O5" s="4" t="n">
        <v>1.5</v>
      </c>
      <c r="P5" s="61" t="n">
        <v>24</v>
      </c>
      <c r="Q5" s="62">
        <f>ROUND(IF(G5="",0,IFERROR(VLOOKUP(G5,TABLE_POIDS!$A:$B,2,1),0)*IF(H5="",0,H5))+IF(I5="",0,IFERROR(VLOOKUP(I5,TABLE_POIDS!$A:$B,2,1),0)*IF(J5="",0,J5))+IF(K5="",0,IFERROR(VLOOKUP(K5,TABLE_POIDS!$A:$B,2,1),0)*IF(L5="",0,L5))+IF(M5="",0,IFERROR(VLOOKUP(M5,TABLE_POIDS!$A:$B,2,1),0)*IF(N5="",0,N5))+IF(O5="",0,IFERROR(VLOOKUP(O5,TABLE_POIDS!$A:$B,2,1),0)*IF(P5="",0,P5)),3)</f>
        <v/>
      </c>
      <c r="R5" s="71" t="n">
        <v>3.8</v>
      </c>
      <c r="S5" s="64">
        <f>CONFIG!$B$9</f>
        <v/>
      </c>
      <c r="T5" s="65">
        <f>ROUND(R5*COURS!$B$6*CONFIG!$B$5*IF(D5="Or blanc",1+CONFIG!$B$6,IF(D5="Or rose",1+CONFIG!$B$7,1)),2)</f>
        <v/>
      </c>
      <c r="U5" s="65">
        <f>ROUND(Q5*IF(E5="Naturel",IF(F5="N1 Essentiel",COURS!$B$9,IF(F5="N2 Sélection",COURS!$B$10,IF(F5="N3 Prestige",COURS!$B$11,IF(F5="N4 Excellence",COURS!$B$12,IF(F5="N5 Exception",COURS!$B$13,0))))),IF(F5="L1 Essentiel",COURS!$B$17,IF(F5="L2 Sélection",COURS!$B$18,IF(F5="L3 Prestige",COURS!$B$19,IF(F5="L4 Excellence",COURS!$B$20,IF(F5="L5 Exception",COURS!$B$21,0)))))),2)</f>
        <v/>
      </c>
      <c r="V5" s="66">
        <f>ROUND(T5+U5+S5+CONFIG!$B$10,2)</f>
        <v/>
      </c>
      <c r="W5" s="66">
        <f>ROUND(V5*CONFIG!$B$12,2)</f>
        <v/>
      </c>
      <c r="X5" s="15">
        <f>ROUND(W5*(1+CONFIG!$B$13),2)</f>
        <v/>
      </c>
    </row>
    <row r="6" ht="20" customHeight="1">
      <c r="A6" s="57" t="inlineStr">
        <is>
          <t>1002-OB-N</t>
        </is>
      </c>
      <c r="B6" s="58" t="inlineStr">
        <is>
          <t>Modèle 1002</t>
        </is>
      </c>
      <c r="C6" s="58" t="inlineStr">
        <is>
          <t>Pavé</t>
        </is>
      </c>
      <c r="D6" s="59" t="inlineStr">
        <is>
          <t>Or blanc</t>
        </is>
      </c>
      <c r="E6" s="59" t="inlineStr">
        <is>
          <t>Naturel</t>
        </is>
      </c>
      <c r="F6" s="60" t="inlineStr">
        <is>
          <t>N2 Sélection</t>
        </is>
      </c>
      <c r="G6" s="4" t="n">
        <v>6.5</v>
      </c>
      <c r="H6" s="61" t="n">
        <v>1</v>
      </c>
      <c r="I6" s="4" t="n">
        <v>2</v>
      </c>
      <c r="J6" s="61" t="n">
        <v>2</v>
      </c>
      <c r="K6" s="4" t="n">
        <v>1.1</v>
      </c>
      <c r="L6" s="61" t="n">
        <v>48</v>
      </c>
      <c r="M6" s="4" t="n">
        <v>1</v>
      </c>
      <c r="N6" s="61" t="n">
        <v>34</v>
      </c>
      <c r="O6" s="4" t="n">
        <v>0.8</v>
      </c>
      <c r="P6" s="61" t="n">
        <v>26</v>
      </c>
      <c r="Q6" s="62">
        <f>ROUND(IF(G6="",0,IFERROR(VLOOKUP(G6,TABLE_POIDS!$A:$B,2,1),0)*IF(H6="",0,H6))+IF(I6="",0,IFERROR(VLOOKUP(I6,TABLE_POIDS!$A:$B,2,1),0)*IF(J6="",0,J6))+IF(K6="",0,IFERROR(VLOOKUP(K6,TABLE_POIDS!$A:$B,2,1),0)*IF(L6="",0,L6))+IF(M6="",0,IFERROR(VLOOKUP(M6,TABLE_POIDS!$A:$B,2,1),0)*IF(N6="",0,N6))+IF(O6="",0,IFERROR(VLOOKUP(O6,TABLE_POIDS!$A:$B,2,1),0)*IF(P6="",0,P6)),3)</f>
        <v/>
      </c>
      <c r="R6" s="63" t="n">
        <v>4.1</v>
      </c>
      <c r="S6" s="64">
        <f>CONFIG!$B$9</f>
        <v/>
      </c>
      <c r="T6" s="65">
        <f>ROUND(R6*COURS!$B$6*CONFIG!$B$5*IF(D6="Or blanc",1+CONFIG!$B$6,IF(D6="Or rose",1+CONFIG!$B$7,1)),2)</f>
        <v/>
      </c>
      <c r="U6" s="65">
        <f>ROUND(Q6*IF(E6="Naturel",IF(F6="N1 Essentiel",COURS!$B$9,IF(F6="N2 Sélection",COURS!$B$10,IF(F6="N3 Prestige",COURS!$B$11,IF(F6="N4 Excellence",COURS!$B$12,IF(F6="N5 Exception",COURS!$B$13,0))))),IF(F6="L1 Essentiel",COURS!$B$17,IF(F6="L2 Sélection",COURS!$B$18,IF(F6="L3 Prestige",COURS!$B$19,IF(F6="L4 Excellence",COURS!$B$20,IF(F6="L5 Exception",COURS!$B$21,0)))))),2)</f>
        <v/>
      </c>
      <c r="V6" s="66">
        <f>ROUND(T6+U6+S6+CONFIG!$B$10,2)</f>
        <v/>
      </c>
      <c r="W6" s="66">
        <f>ROUND(V6*CONFIG!$B$12,2)</f>
        <v/>
      </c>
      <c r="X6" s="15">
        <f>ROUND(W6*(1+CONFIG!$B$13),2)</f>
        <v/>
      </c>
    </row>
    <row r="7" ht="20" customHeight="1">
      <c r="A7" s="67" t="inlineStr">
        <is>
          <t>1003-OB-N</t>
        </is>
      </c>
      <c r="B7" s="68" t="inlineStr">
        <is>
          <t>Modèle 1003</t>
        </is>
      </c>
      <c r="C7" s="68" t="inlineStr">
        <is>
          <t>Solitaires</t>
        </is>
      </c>
      <c r="D7" s="59" t="inlineStr">
        <is>
          <t>Or blanc</t>
        </is>
      </c>
      <c r="E7" s="59" t="inlineStr">
        <is>
          <t>Naturel</t>
        </is>
      </c>
      <c r="F7" s="70" t="inlineStr">
        <is>
          <t>N3 Prestige</t>
        </is>
      </c>
      <c r="G7" s="4" t="n">
        <v>2.2</v>
      </c>
      <c r="H7" s="61" t="n">
        <v>2</v>
      </c>
      <c r="I7" s="4" t="n">
        <v>1.7</v>
      </c>
      <c r="J7" s="61" t="n">
        <v>9</v>
      </c>
      <c r="K7" s="4" t="n">
        <v>1.4</v>
      </c>
      <c r="L7" s="61" t="n">
        <v>20</v>
      </c>
      <c r="M7" s="4" t="n">
        <v>1.3</v>
      </c>
      <c r="N7" s="61" t="n">
        <v>18</v>
      </c>
      <c r="O7" s="70" t="n"/>
      <c r="P7" s="70" t="n"/>
      <c r="Q7" s="62">
        <f>ROUND(IF(G7="",0,IFERROR(VLOOKUP(G7,TABLE_POIDS!$A:$B,2,1),0)*IF(H7="",0,H7))+IF(I7="",0,IFERROR(VLOOKUP(I7,TABLE_POIDS!$A:$B,2,1),0)*IF(J7="",0,J7))+IF(K7="",0,IFERROR(VLOOKUP(K7,TABLE_POIDS!$A:$B,2,1),0)*IF(L7="",0,L7))+IF(M7="",0,IFERROR(VLOOKUP(M7,TABLE_POIDS!$A:$B,2,1),0)*IF(N7="",0,N7))+IF(O7="",0,IFERROR(VLOOKUP(O7,TABLE_POIDS!$A:$B,2,1),0)*IF(P7="",0,P7)),3)</f>
        <v/>
      </c>
      <c r="R7" s="71" t="n">
        <v>3.2</v>
      </c>
      <c r="S7" s="64">
        <f>CONFIG!$B$9</f>
        <v/>
      </c>
      <c r="T7" s="65">
        <f>ROUND(R7*COURS!$B$6*CONFIG!$B$5*IF(D7="Or blanc",1+CONFIG!$B$6,IF(D7="Or rose",1+CONFIG!$B$7,1)),2)</f>
        <v/>
      </c>
      <c r="U7" s="65">
        <f>ROUND(Q7*IF(E7="Naturel",IF(F7="N1 Essentiel",COURS!$B$9,IF(F7="N2 Sélection",COURS!$B$10,IF(F7="N3 Prestige",COURS!$B$11,IF(F7="N4 Excellence",COURS!$B$12,IF(F7="N5 Exception",COURS!$B$13,0))))),IF(F7="L1 Essentiel",COURS!$B$17,IF(F7="L2 Sélection",COURS!$B$18,IF(F7="L3 Prestige",COURS!$B$19,IF(F7="L4 Excellence",COURS!$B$20,IF(F7="L5 Exception",COURS!$B$21,0)))))),2)</f>
        <v/>
      </c>
      <c r="V7" s="66">
        <f>ROUND(T7+U7+S7+CONFIG!$B$10,2)</f>
        <v/>
      </c>
      <c r="W7" s="66">
        <f>ROUND(V7*CONFIG!$B$12,2)</f>
        <v/>
      </c>
      <c r="X7" s="15">
        <f>ROUND(W7*(1+CONFIG!$B$13),2)</f>
        <v/>
      </c>
    </row>
    <row r="8" ht="20" customHeight="1">
      <c r="A8" s="57" t="inlineStr">
        <is>
          <t>1003-OJ-N</t>
        </is>
      </c>
      <c r="B8" s="58" t="inlineStr">
        <is>
          <t>Modèle 1003</t>
        </is>
      </c>
      <c r="C8" s="58" t="inlineStr">
        <is>
          <t>Solitaires</t>
        </is>
      </c>
      <c r="D8" s="72" t="inlineStr">
        <is>
          <t>Or jaune</t>
        </is>
      </c>
      <c r="E8" s="59" t="inlineStr">
        <is>
          <t>Naturel</t>
        </is>
      </c>
      <c r="F8" s="60" t="inlineStr">
        <is>
          <t>N3 Prestige</t>
        </is>
      </c>
      <c r="G8" s="4" t="n">
        <v>2.2</v>
      </c>
      <c r="H8" s="61" t="n">
        <v>2</v>
      </c>
      <c r="I8" s="4" t="n">
        <v>1.7</v>
      </c>
      <c r="J8" s="61" t="n">
        <v>9</v>
      </c>
      <c r="K8" s="4" t="n">
        <v>1.4</v>
      </c>
      <c r="L8" s="61" t="n">
        <v>20</v>
      </c>
      <c r="M8" s="4" t="n">
        <v>1.3</v>
      </c>
      <c r="N8" s="61" t="n">
        <v>18</v>
      </c>
      <c r="O8" s="60" t="n"/>
      <c r="P8" s="60" t="n"/>
      <c r="Q8" s="62">
        <f>ROUND(IF(G8="",0,IFERROR(VLOOKUP(G8,TABLE_POIDS!$A:$B,2,1),0)*IF(H8="",0,H8))+IF(I8="",0,IFERROR(VLOOKUP(I8,TABLE_POIDS!$A:$B,2,1),0)*IF(J8="",0,J8))+IF(K8="",0,IFERROR(VLOOKUP(K8,TABLE_POIDS!$A:$B,2,1),0)*IF(L8="",0,L8))+IF(M8="",0,IFERROR(VLOOKUP(M8,TABLE_POIDS!$A:$B,2,1),0)*IF(N8="",0,N8))+IF(O8="",0,IFERROR(VLOOKUP(O8,TABLE_POIDS!$A:$B,2,1),0)*IF(P8="",0,P8)),3)</f>
        <v/>
      </c>
      <c r="R8" s="63" t="n">
        <v>3.2</v>
      </c>
      <c r="S8" s="64">
        <f>CONFIG!$B$9</f>
        <v/>
      </c>
      <c r="T8" s="65">
        <f>ROUND(R8*COURS!$B$6*CONFIG!$B$5*IF(D8="Or blanc",1+CONFIG!$B$6,IF(D8="Or rose",1+CONFIG!$B$7,1)),2)</f>
        <v/>
      </c>
      <c r="U8" s="65">
        <f>ROUND(Q8*IF(E8="Naturel",IF(F8="N1 Essentiel",COURS!$B$9,IF(F8="N2 Sélection",COURS!$B$10,IF(F8="N3 Prestige",COURS!$B$11,IF(F8="N4 Excellence",COURS!$B$12,IF(F8="N5 Exception",COURS!$B$13,0))))),IF(F8="L1 Essentiel",COURS!$B$17,IF(F8="L2 Sélection",COURS!$B$18,IF(F8="L3 Prestige",COURS!$B$19,IF(F8="L4 Excellence",COURS!$B$20,IF(F8="L5 Exception",COURS!$B$21,0)))))),2)</f>
        <v/>
      </c>
      <c r="V8" s="66">
        <f>ROUND(T8+U8+S8+CONFIG!$B$10,2)</f>
        <v/>
      </c>
      <c r="W8" s="66">
        <f>ROUND(V8*CONFIG!$B$12,2)</f>
        <v/>
      </c>
      <c r="X8" s="15">
        <f>ROUND(W8*(1+CONFIG!$B$13),2)</f>
        <v/>
      </c>
    </row>
    <row r="9" ht="20" customHeight="1">
      <c r="A9" s="67" t="inlineStr">
        <is>
          <t>1004-OB-N</t>
        </is>
      </c>
      <c r="B9" s="68" t="inlineStr">
        <is>
          <t>Modèle 1004</t>
        </is>
      </c>
      <c r="C9" s="68" t="inlineStr">
        <is>
          <t>Alliances</t>
        </is>
      </c>
      <c r="D9" s="59" t="inlineStr">
        <is>
          <t>Or blanc</t>
        </is>
      </c>
      <c r="E9" s="59" t="inlineStr">
        <is>
          <t>Naturel</t>
        </is>
      </c>
      <c r="F9" s="70" t="inlineStr">
        <is>
          <t>N2 Sélection</t>
        </is>
      </c>
      <c r="G9" s="4" t="n">
        <v>3</v>
      </c>
      <c r="H9" s="61" t="n">
        <v>22</v>
      </c>
      <c r="I9" s="70" t="n"/>
      <c r="J9" s="70" t="n"/>
      <c r="K9" s="70" t="n"/>
      <c r="L9" s="70" t="n"/>
      <c r="M9" s="70" t="n"/>
      <c r="N9" s="70" t="n"/>
      <c r="O9" s="70" t="n"/>
      <c r="P9" s="70" t="n"/>
      <c r="Q9" s="62">
        <f>ROUND(IF(G9="",0,IFERROR(VLOOKUP(G9,TABLE_POIDS!$A:$B,2,1),0)*IF(H9="",0,H9))+IF(I9="",0,IFERROR(VLOOKUP(I9,TABLE_POIDS!$A:$B,2,1),0)*IF(J9="",0,J9))+IF(K9="",0,IFERROR(VLOOKUP(K9,TABLE_POIDS!$A:$B,2,1),0)*IF(L9="",0,L9))+IF(M9="",0,IFERROR(VLOOKUP(M9,TABLE_POIDS!$A:$B,2,1),0)*IF(N9="",0,N9))+IF(O9="",0,IFERROR(VLOOKUP(O9,TABLE_POIDS!$A:$B,2,1),0)*IF(P9="",0,P9)),3)</f>
        <v/>
      </c>
      <c r="R9" s="71" t="n">
        <v>2.8</v>
      </c>
      <c r="S9" s="64">
        <f>CONFIG!$B$9</f>
        <v/>
      </c>
      <c r="T9" s="65">
        <f>ROUND(R9*COURS!$B$6*CONFIG!$B$5*IF(D9="Or blanc",1+CONFIG!$B$6,IF(D9="Or rose",1+CONFIG!$B$7,1)),2)</f>
        <v/>
      </c>
      <c r="U9" s="65">
        <f>ROUND(Q9*IF(E9="Naturel",IF(F9="N1 Essentiel",COURS!$B$9,IF(F9="N2 Sélection",COURS!$B$10,IF(F9="N3 Prestige",COURS!$B$11,IF(F9="N4 Excellence",COURS!$B$12,IF(F9="N5 Exception",COURS!$B$13,0))))),IF(F9="L1 Essentiel",COURS!$B$17,IF(F9="L2 Sélection",COURS!$B$18,IF(F9="L3 Prestige",COURS!$B$19,IF(F9="L4 Excellence",COURS!$B$20,IF(F9="L5 Exception",COURS!$B$21,0)))))),2)</f>
        <v/>
      </c>
      <c r="V9" s="66">
        <f>ROUND(T9+U9+S9+CONFIG!$B$10,2)</f>
        <v/>
      </c>
      <c r="W9" s="66">
        <f>ROUND(V9*CONFIG!$B$12,2)</f>
        <v/>
      </c>
      <c r="X9" s="15">
        <f>ROUND(W9*(1+CONFIG!$B$13),2)</f>
        <v/>
      </c>
    </row>
    <row r="10" ht="20" customHeight="1">
      <c r="A10" s="57" t="inlineStr">
        <is>
          <t>1004-OR-L</t>
        </is>
      </c>
      <c r="B10" s="58" t="inlineStr">
        <is>
          <t>Modèle 1004</t>
        </is>
      </c>
      <c r="C10" s="58" t="inlineStr">
        <is>
          <t>Alliances</t>
        </is>
      </c>
      <c r="D10" s="73" t="inlineStr">
        <is>
          <t>Or rose</t>
        </is>
      </c>
      <c r="E10" s="69" t="inlineStr">
        <is>
          <t>Labo</t>
        </is>
      </c>
      <c r="F10" s="60" t="inlineStr">
        <is>
          <t>L2 Sélection</t>
        </is>
      </c>
      <c r="G10" s="4" t="n">
        <v>3</v>
      </c>
      <c r="H10" s="61" t="n">
        <v>22</v>
      </c>
      <c r="I10" s="60" t="n"/>
      <c r="J10" s="60" t="n"/>
      <c r="K10" s="60" t="n"/>
      <c r="L10" s="60" t="n"/>
      <c r="M10" s="60" t="n"/>
      <c r="N10" s="60" t="n"/>
      <c r="O10" s="60" t="n"/>
      <c r="P10" s="60" t="n"/>
      <c r="Q10" s="62">
        <f>ROUND(IF(G10="",0,IFERROR(VLOOKUP(G10,TABLE_POIDS!$A:$B,2,1),0)*IF(H10="",0,H10))+IF(I10="",0,IFERROR(VLOOKUP(I10,TABLE_POIDS!$A:$B,2,1),0)*IF(J10="",0,J10))+IF(K10="",0,IFERROR(VLOOKUP(K10,TABLE_POIDS!$A:$B,2,1),0)*IF(L10="",0,L10))+IF(M10="",0,IFERROR(VLOOKUP(M10,TABLE_POIDS!$A:$B,2,1),0)*IF(N10="",0,N10))+IF(O10="",0,IFERROR(VLOOKUP(O10,TABLE_POIDS!$A:$B,2,1),0)*IF(P10="",0,P10)),3)</f>
        <v/>
      </c>
      <c r="R10" s="63" t="n">
        <v>2.8</v>
      </c>
      <c r="S10" s="64">
        <f>CONFIG!$B$9</f>
        <v/>
      </c>
      <c r="T10" s="65">
        <f>ROUND(R10*COURS!$B$6*CONFIG!$B$5*IF(D10="Or blanc",1+CONFIG!$B$6,IF(D10="Or rose",1+CONFIG!$B$7,1)),2)</f>
        <v/>
      </c>
      <c r="U10" s="65">
        <f>ROUND(Q10*IF(E10="Naturel",IF(F10="N1 Essentiel",COURS!$B$9,IF(F10="N2 Sélection",COURS!$B$10,IF(F10="N3 Prestige",COURS!$B$11,IF(F10="N4 Excellence",COURS!$B$12,IF(F10="N5 Exception",COURS!$B$13,0))))),IF(F10="L1 Essentiel",COURS!$B$17,IF(F10="L2 Sélection",COURS!$B$18,IF(F10="L3 Prestige",COURS!$B$19,IF(F10="L4 Excellence",COURS!$B$20,IF(F10="L5 Exception",COURS!$B$21,0)))))),2)</f>
        <v/>
      </c>
      <c r="V10" s="66">
        <f>ROUND(T10+U10+S10+CONFIG!$B$10,2)</f>
        <v/>
      </c>
      <c r="W10" s="66">
        <f>ROUND(V10*CONFIG!$B$12,2)</f>
        <v/>
      </c>
      <c r="X10" s="15">
        <f>ROUND(W10*(1+CONFIG!$B$13),2)</f>
        <v/>
      </c>
    </row>
    <row r="11" ht="18" customHeight="1">
      <c r="A11" s="74" t="inlineStr">
        <is>
          <t>⟶  Copiez une ligne existante pour ajouter un produit  —  Colonnes blanches = saisie manuelle  |  Colonnes vertes/rouges/dorées = calcul automatique</t>
        </is>
      </c>
    </row>
  </sheetData>
  <mergeCells count="8">
    <mergeCell ref="D2:F2"/>
    <mergeCell ref="T2:U2"/>
    <mergeCell ref="A11:X11"/>
    <mergeCell ref="A1:X1"/>
    <mergeCell ref="G2:P2"/>
    <mergeCell ref="A2:C2"/>
    <mergeCell ref="Q2:S2"/>
    <mergeCell ref="V2:X2"/>
  </mergeCells>
  <dataValidations count="3">
    <dataValidation sqref="D4:D500" showDropDown="0" showInputMessage="0" showErrorMessage="0" allowBlank="0" type="list">
      <formula1>"Or blanc,Or jaune,Or rose"</formula1>
    </dataValidation>
    <dataValidation sqref="E4:E500" showDropDown="0" showInputMessage="0" showErrorMessage="0" allowBlank="0" type="list">
      <formula1>"Naturel,Labo"</formula1>
    </dataValidation>
    <dataValidation sqref="F4:F500" showDropDown="0" showInputMessage="0" showErrorMessage="0" allowBlank="0" type="list">
      <formula1>"N1 Essentiel,N2 Sélection,N3 Prestige,N4 Excellence,N5 Exception,L1 Essentiel,L2 Sélection,L3 Prestige,L4 Excellence,L5 Exception"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U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2" customWidth="1" min="2" max="2"/>
    <col width="40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</cols>
  <sheetData>
    <row r="1" ht="30" customHeight="1">
      <c r="A1" s="75" t="inlineStr">
        <is>
          <t>EXPORT SHOPIFY — Format Matrixify (CSV)</t>
        </is>
      </c>
    </row>
    <row r="2" ht="28" customHeight="1">
      <c r="A2" s="45" t="inlineStr">
        <is>
          <t>Handle</t>
        </is>
      </c>
      <c r="B2" s="45" t="inlineStr">
        <is>
          <t>Title</t>
        </is>
      </c>
      <c r="C2" s="45" t="inlineStr">
        <is>
          <t>Body (HTML)</t>
        </is>
      </c>
      <c r="D2" s="45" t="inlineStr">
        <is>
          <t>Vendor</t>
        </is>
      </c>
      <c r="E2" s="45" t="inlineStr">
        <is>
          <t>Type</t>
        </is>
      </c>
      <c r="F2" s="45" t="inlineStr">
        <is>
          <t>Tags</t>
        </is>
      </c>
      <c r="G2" s="45" t="inlineStr">
        <is>
          <t>Published</t>
        </is>
      </c>
      <c r="H2" s="45" t="inlineStr">
        <is>
          <t>Option1 Name</t>
        </is>
      </c>
      <c r="I2" s="45" t="inlineStr">
        <is>
          <t>Option1 Value</t>
        </is>
      </c>
      <c r="J2" s="45" t="inlineStr">
        <is>
          <t>Option2 Name</t>
        </is>
      </c>
      <c r="K2" s="45" t="inlineStr">
        <is>
          <t>Option2 Value</t>
        </is>
      </c>
      <c r="L2" s="45" t="inlineStr">
        <is>
          <t>Option3 Name</t>
        </is>
      </c>
      <c r="M2" s="45" t="inlineStr">
        <is>
          <t>Option3 Value</t>
        </is>
      </c>
      <c r="N2" s="45" t="inlineStr">
        <is>
          <t>Variant SKU</t>
        </is>
      </c>
      <c r="O2" s="45" t="inlineStr">
        <is>
          <t>Variant Price</t>
        </is>
      </c>
      <c r="P2" s="45" t="inlineStr">
        <is>
          <t>Variant Compare At Price</t>
        </is>
      </c>
      <c r="Q2" s="45" t="inlineStr">
        <is>
          <t>Variant Inventory Qty</t>
        </is>
      </c>
      <c r="R2" s="45" t="inlineStr">
        <is>
          <t>Image Src</t>
        </is>
      </c>
      <c r="S2" s="45" t="inlineStr">
        <is>
          <t>Image Alt Text</t>
        </is>
      </c>
      <c r="T2" s="45" t="inlineStr">
        <is>
          <t>SEO Title</t>
        </is>
      </c>
      <c r="U2" s="45" t="inlineStr">
        <is>
          <t>SEO Description</t>
        </is>
      </c>
    </row>
    <row r="3" ht="30" customHeight="1">
      <c r="A3" s="76" t="inlineStr">
        <is>
          <t>ℹ  Une ligne par taille de bague (même Handle).  Variant Price = reprenez le Prix TTC de l'onglet CATALOGUE.  Exportez en .CSV → importez via Matrixify dans Shopify.</t>
        </is>
      </c>
    </row>
    <row r="4" ht="18" customHeight="1">
      <c r="A4" s="77" t="inlineStr">
        <is>
          <t>1001-ob-n</t>
        </is>
      </c>
      <c r="B4" s="77" t="inlineStr">
        <is>
          <t>Modèle 1001 — Or Blanc — Naturel</t>
        </is>
      </c>
      <c r="C4" s="77" t="inlineStr">
        <is>
          <t>&lt;p&gt;Description SEO&lt;/p&gt;</t>
        </is>
      </c>
      <c r="D4" s="77" t="inlineStr">
        <is>
          <t>Bijou-R</t>
        </is>
      </c>
      <c r="E4" s="77" t="inlineStr">
        <is>
          <t>Bague Pavé</t>
        </is>
      </c>
      <c r="F4" s="77" t="inlineStr">
        <is>
          <t>pavé, diamant naturel, or blanc</t>
        </is>
      </c>
      <c r="G4" s="77" t="inlineStr">
        <is>
          <t>TRUE</t>
        </is>
      </c>
      <c r="H4" s="77" t="inlineStr">
        <is>
          <t>Taille</t>
        </is>
      </c>
      <c r="I4" s="77" t="inlineStr">
        <is>
          <t>52</t>
        </is>
      </c>
      <c r="J4" s="77" t="inlineStr">
        <is>
          <t>Métal</t>
        </is>
      </c>
      <c r="K4" s="77" t="inlineStr">
        <is>
          <t>Or blanc</t>
        </is>
      </c>
      <c r="L4" s="77" t="inlineStr">
        <is>
          <t>Diamant</t>
        </is>
      </c>
      <c r="M4" s="77" t="inlineStr">
        <is>
          <t>N3 Prestige</t>
        </is>
      </c>
      <c r="N4" s="77" t="inlineStr">
        <is>
          <t>1001-OB-N-52</t>
        </is>
      </c>
      <c r="O4" s="77">
        <f>CATALOGUE!X4</f>
        <v/>
      </c>
      <c r="P4" s="77" t="inlineStr"/>
      <c r="Q4" s="77" t="inlineStr">
        <is>
          <t>3</t>
        </is>
      </c>
      <c r="R4" s="77" t="inlineStr">
        <is>
          <t>https://url-image.com/1001.jpg</t>
        </is>
      </c>
      <c r="S4" s="77" t="inlineStr">
        <is>
          <t>Modèle 1001 pavé or blanc diamant naturel</t>
        </is>
      </c>
      <c r="T4" s="77" t="inlineStr">
        <is>
          <t>Bague Pavé Diamant Naturel Or Blanc — Bijou-R</t>
        </is>
      </c>
      <c r="U4" s="77" t="inlineStr">
        <is>
          <t>Découvrez notre bague pavé, composition unique de diamants naturels sertis en or blanc 18k.</t>
        </is>
      </c>
    </row>
  </sheetData>
  <mergeCells count="2">
    <mergeCell ref="A1:U1"/>
    <mergeCell ref="A3:U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2026-05-19T14:06:40Z</dcterms:created>
  <dcterms:modified xsi:type="dcterms:W3CDTF">2026-05-19T14:06:41Z</dcterms:modified>
</cp:coreProperties>
</file>