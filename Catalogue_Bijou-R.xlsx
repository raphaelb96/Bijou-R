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" sheetId="1" state="visible" r:id="rId1"/>
    <sheet name="CONFIG" sheetId="2" state="visible" r:id="rId2"/>
    <sheet name="CATALOGUE" sheetId="3" state="visible" r:id="rId3"/>
    <sheet name="EXPORT SHOPIF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#,##0 &quot;€&quot;"/>
    <numFmt numFmtId="166" formatCode="0.0 &quot;g&quot;"/>
    <numFmt numFmtId="167" formatCode="0.00 &quot;ct&quot;"/>
  </numFmts>
  <fonts count="16">
    <font>
      <name val="Calibri"/>
      <family val="2"/>
      <color theme="1"/>
      <sz val="11"/>
      <scheme val="minor"/>
    </font>
    <font>
      <name val="Calibri"/>
      <b val="1"/>
      <color rgb="00FFD700"/>
      <sz val="14"/>
    </font>
    <font>
      <name val="Calibri"/>
      <b val="1"/>
      <color rgb="001A1A1A"/>
      <sz val="10"/>
    </font>
    <font>
      <name val="Calibri"/>
      <b val="1"/>
      <color rgb="001A1A1A"/>
      <sz val="11"/>
    </font>
    <font>
      <name val="Calibri"/>
      <b val="1"/>
      <color rgb="00FFD700"/>
      <sz val="10"/>
    </font>
    <font>
      <name val="Calibri"/>
      <color rgb="001A1A1A"/>
      <sz val="10"/>
    </font>
    <font>
      <name val="Calibri"/>
      <i val="1"/>
      <color rgb="001A1A1A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1A1A1A"/>
      <sz val="9"/>
    </font>
    <font>
      <name val="Calibri"/>
      <i val="1"/>
      <color rgb="00888888"/>
      <sz val="9"/>
    </font>
    <font>
      <name val="Calibri"/>
      <b val="1"/>
      <color rgb="00FFFFFF"/>
      <sz val="13"/>
    </font>
    <font>
      <name val="Calibri"/>
      <i val="1"/>
      <color rgb="001A1A1A"/>
      <sz val="9"/>
    </font>
    <font>
      <name val="Calibri"/>
      <i val="1"/>
      <color rgb="00555555"/>
      <sz val="8"/>
    </font>
  </fonts>
  <fills count="1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8DC"/>
      </patternFill>
    </fill>
    <fill>
      <patternFill patternType="solid">
        <fgColor rgb="00FFD700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F2F2F2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5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5" fontId="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2" fontId="2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2" fontId="2" fillId="9" borderId="1" applyAlignment="1" pivotButton="0" quotePrefix="0" xfId="0">
      <alignment horizontal="center" vertical="center" wrapText="1"/>
    </xf>
    <xf numFmtId="9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67" fontId="5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4" fontId="5" fillId="1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166" fontId="5" fillId="13" borderId="1" applyAlignment="1" pivotButton="0" quotePrefix="0" xfId="0">
      <alignment horizontal="center" vertical="center" wrapText="1"/>
    </xf>
    <xf numFmtId="167" fontId="5" fillId="1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40" customWidth="1" min="4" max="4"/>
  </cols>
  <sheetData>
    <row r="1" ht="35" customHeight="1">
      <c r="A1" s="1" t="inlineStr">
        <is>
          <t>COURS DU MARCHÉ — BIJOU-R</t>
        </is>
      </c>
    </row>
    <row r="2" ht="22" customHeight="1">
      <c r="A2" s="2" t="inlineStr">
        <is>
          <t>⚠  Mettez à jour ces cellules jaunes pour recalculer tous les prix du catalogue</t>
        </is>
      </c>
    </row>
    <row r="3" ht="20" customHeight="1">
      <c r="A3" s="3" t="inlineStr">
        <is>
          <t>OR</t>
        </is>
      </c>
    </row>
    <row r="4" ht="20" customHeight="1">
      <c r="A4" s="4" t="inlineStr">
        <is>
          <t>Paramètre</t>
        </is>
      </c>
      <c r="B4" s="4" t="inlineStr">
        <is>
          <t>Valeur</t>
        </is>
      </c>
      <c r="C4" s="4" t="inlineStr">
        <is>
          <t>Unité</t>
        </is>
      </c>
      <c r="D4" s="4" t="inlineStr">
        <is>
          <t>Note</t>
        </is>
      </c>
    </row>
    <row r="5" ht="18" customHeight="1">
      <c r="A5" s="5" t="inlineStr">
        <is>
          <t>Cours de l'or (à mettre à jour)</t>
        </is>
      </c>
      <c r="B5" s="6" t="n">
        <v>85</v>
      </c>
      <c r="C5" s="7" t="inlineStr">
        <is>
          <t>€ / gramme</t>
        </is>
      </c>
      <c r="D5" s="8" t="inlineStr">
        <is>
          <t>Prix spot international converti en €/g</t>
        </is>
      </c>
    </row>
    <row r="7" ht="20" customHeight="1">
      <c r="A7" s="9" t="inlineStr">
        <is>
          <t>DIAMANTS NATURELS</t>
        </is>
      </c>
    </row>
    <row r="8">
      <c r="A8" s="10" t="inlineStr">
        <is>
          <t>Paramètre</t>
        </is>
      </c>
      <c r="B8" s="10" t="inlineStr">
        <is>
          <t>Valeur</t>
        </is>
      </c>
      <c r="C8" s="10" t="inlineStr">
        <is>
          <t>Unité</t>
        </is>
      </c>
      <c r="D8" s="10" t="inlineStr">
        <is>
          <t>Note</t>
        </is>
      </c>
    </row>
    <row r="9" ht="18" customHeight="1">
      <c r="A9" s="11" t="inlineStr">
        <is>
          <t>Naturel — N1 Essentiel</t>
        </is>
      </c>
      <c r="B9" s="12" t="n">
        <v>1800</v>
      </c>
      <c r="C9" s="13" t="inlineStr">
        <is>
          <t>€ / carat</t>
        </is>
      </c>
      <c r="D9" s="14" t="inlineStr">
        <is>
          <t>H-I / SI1-SI2 — entrée de gamme</t>
        </is>
      </c>
    </row>
    <row r="10" ht="18" customHeight="1">
      <c r="A10" s="11" t="inlineStr">
        <is>
          <t>Naturel — N2 Sélection</t>
        </is>
      </c>
      <c r="B10" s="12" t="n">
        <v>3500</v>
      </c>
      <c r="C10" s="13" t="inlineStr">
        <is>
          <t>€ / carat</t>
        </is>
      </c>
      <c r="D10" s="14" t="inlineStr">
        <is>
          <t>G-H / VS2 — bon rapport qualité/prix</t>
        </is>
      </c>
    </row>
    <row r="11" ht="18" customHeight="1">
      <c r="A11" s="11" t="inlineStr">
        <is>
          <t>Naturel — N3 Prestige</t>
        </is>
      </c>
      <c r="B11" s="12" t="n">
        <v>6200</v>
      </c>
      <c r="C11" s="13" t="inlineStr">
        <is>
          <t>€ / carat</t>
        </is>
      </c>
      <c r="D11" s="14" t="inlineStr">
        <is>
          <t>F-G / VS1 — haute joaillerie</t>
        </is>
      </c>
    </row>
    <row r="12" ht="18" customHeight="1">
      <c r="A12" s="11" t="inlineStr">
        <is>
          <t>Naturel — N4 Excellence</t>
        </is>
      </c>
      <c r="B12" s="12" t="n">
        <v>10500</v>
      </c>
      <c r="C12" s="13" t="inlineStr">
        <is>
          <t>€ / carat</t>
        </is>
      </c>
      <c r="D12" s="14" t="inlineStr">
        <is>
          <t>E-F / VVS1-VVS2 — très haute joaillerie</t>
        </is>
      </c>
    </row>
    <row r="13" ht="18" customHeight="1">
      <c r="A13" s="11" t="inlineStr">
        <is>
          <t>Naturel — N5 Exception</t>
        </is>
      </c>
      <c r="B13" s="12" t="n">
        <v>18000</v>
      </c>
      <c r="C13" s="13" t="inlineStr">
        <is>
          <t>€ / carat</t>
        </is>
      </c>
      <c r="D13" s="14" t="inlineStr">
        <is>
          <t>D / IF — collector</t>
        </is>
      </c>
    </row>
    <row r="15" ht="20" customHeight="1">
      <c r="A15" s="15" t="inlineStr">
        <is>
          <t>DIAMANTS DE LABORATOIRE</t>
        </is>
      </c>
    </row>
    <row r="16">
      <c r="A16" s="16" t="inlineStr">
        <is>
          <t>Paramètre</t>
        </is>
      </c>
      <c r="B16" s="16" t="inlineStr">
        <is>
          <t>Valeur</t>
        </is>
      </c>
      <c r="C16" s="16" t="inlineStr">
        <is>
          <t>Unité</t>
        </is>
      </c>
      <c r="D16" s="16" t="inlineStr">
        <is>
          <t>Note</t>
        </is>
      </c>
    </row>
    <row r="17" ht="18" customHeight="1">
      <c r="A17" s="17" t="inlineStr">
        <is>
          <t>Labo — L1 Essentiel</t>
        </is>
      </c>
      <c r="B17" s="18" t="n">
        <v>420</v>
      </c>
      <c r="C17" s="19" t="inlineStr">
        <is>
          <t>€ / carat</t>
        </is>
      </c>
      <c r="D17" s="20" t="inlineStr">
        <is>
          <t>H-I / SI1-SI2 — même qualité visuelle</t>
        </is>
      </c>
    </row>
    <row r="18" ht="18" customHeight="1">
      <c r="A18" s="17" t="inlineStr">
        <is>
          <t>Labo — L2 Sélection</t>
        </is>
      </c>
      <c r="B18" s="18" t="n">
        <v>780</v>
      </c>
      <c r="C18" s="19" t="inlineStr">
        <is>
          <t>€ / carat</t>
        </is>
      </c>
      <c r="D18" s="20" t="inlineStr">
        <is>
          <t>G-H / VS2</t>
        </is>
      </c>
    </row>
    <row r="19" ht="18" customHeight="1">
      <c r="A19" s="17" t="inlineStr">
        <is>
          <t>Labo — L3 Prestige</t>
        </is>
      </c>
      <c r="B19" s="18" t="n">
        <v>1300</v>
      </c>
      <c r="C19" s="19" t="inlineStr">
        <is>
          <t>€ / carat</t>
        </is>
      </c>
      <c r="D19" s="20" t="inlineStr">
        <is>
          <t>F-G / VS1</t>
        </is>
      </c>
    </row>
    <row r="20" ht="18" customHeight="1">
      <c r="A20" s="17" t="inlineStr">
        <is>
          <t>Labo — L4 Excellence</t>
        </is>
      </c>
      <c r="B20" s="18" t="n">
        <v>2100</v>
      </c>
      <c r="C20" s="19" t="inlineStr">
        <is>
          <t>€ / carat</t>
        </is>
      </c>
      <c r="D20" s="20" t="inlineStr">
        <is>
          <t>E-F / VVS1-VVS2</t>
        </is>
      </c>
    </row>
    <row r="21" ht="18" customHeight="1">
      <c r="A21" s="17" t="inlineStr">
        <is>
          <t>Labo — L5 Exception</t>
        </is>
      </c>
      <c r="B21" s="18" t="n">
        <v>3500</v>
      </c>
      <c r="C21" s="19" t="inlineStr">
        <is>
          <t>€ / carat</t>
        </is>
      </c>
      <c r="D21" s="20" t="inlineStr">
        <is>
          <t>D / IF</t>
        </is>
      </c>
    </row>
  </sheetData>
  <mergeCells count="5">
    <mergeCell ref="A1:D1"/>
    <mergeCell ref="A3:D3"/>
    <mergeCell ref="A15:D15"/>
    <mergeCell ref="A7:D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D9D9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40" customWidth="1" min="4" max="4"/>
  </cols>
  <sheetData>
    <row r="1" ht="35" customHeight="1">
      <c r="A1" s="21" t="inlineStr">
        <is>
          <t>CONFIGURATION — PARAMÈTRES FIXES</t>
        </is>
      </c>
    </row>
    <row r="2" ht="20" customHeight="1">
      <c r="A2" s="22" t="inlineStr">
        <is>
          <t>OR &amp; MÉTAUX</t>
        </is>
      </c>
    </row>
    <row r="3" ht="18" customHeight="1">
      <c r="A3" s="23" t="inlineStr">
        <is>
          <t>Paramètre</t>
        </is>
      </c>
      <c r="B3" s="23" t="inlineStr">
        <is>
          <t>Valeur</t>
        </is>
      </c>
      <c r="C3" s="23" t="inlineStr">
        <is>
          <t>Unité</t>
        </is>
      </c>
      <c r="D3" s="23" t="inlineStr">
        <is>
          <t>Note</t>
        </is>
      </c>
    </row>
    <row r="4" ht="18" customHeight="1">
      <c r="A4" s="24" t="inlineStr">
        <is>
          <t>Pureté or 18k</t>
        </is>
      </c>
      <c r="B4" s="25" t="n">
        <v>0.75</v>
      </c>
      <c r="C4" s="26" t="inlineStr">
        <is>
          <t>facteur</t>
        </is>
      </c>
      <c r="D4" s="27" t="inlineStr">
        <is>
          <t>75% d'or pur dans l'alliage 18k</t>
        </is>
      </c>
    </row>
    <row r="5" ht="18" customHeight="1">
      <c r="A5" s="24" t="inlineStr">
        <is>
          <t>Supplément or blanc (rhodium)</t>
        </is>
      </c>
      <c r="B5" s="28" t="n">
        <v>0.08</v>
      </c>
      <c r="C5" s="26" t="inlineStr">
        <is>
          <t>facteur +%</t>
        </is>
      </c>
      <c r="D5" s="27" t="inlineStr">
        <is>
          <t>Coût du plaquage rhodium</t>
        </is>
      </c>
    </row>
    <row r="6" ht="18" customHeight="1">
      <c r="A6" s="24" t="inlineStr">
        <is>
          <t>Supplément or rose</t>
        </is>
      </c>
      <c r="B6" s="28" t="n">
        <v>0.02</v>
      </c>
      <c r="C6" s="26" t="inlineStr">
        <is>
          <t>facteur +%</t>
        </is>
      </c>
      <c r="D6" s="27" t="inlineStr">
        <is>
          <t>Alliage cuivre légèrement plus coûteux</t>
        </is>
      </c>
    </row>
    <row r="7" ht="20" customHeight="1">
      <c r="A7" s="29" t="inlineStr">
        <is>
          <t>FABRICATION</t>
        </is>
      </c>
    </row>
    <row r="8" ht="18" customHeight="1">
      <c r="A8" s="30" t="inlineStr">
        <is>
          <t>Paramètre</t>
        </is>
      </c>
      <c r="B8" s="30" t="inlineStr">
        <is>
          <t>Valeur</t>
        </is>
      </c>
      <c r="C8" s="30" t="inlineStr">
        <is>
          <t>Unité</t>
        </is>
      </c>
      <c r="D8" s="30" t="inlineStr">
        <is>
          <t>Note</t>
        </is>
      </c>
    </row>
    <row r="9" ht="18" customHeight="1">
      <c r="A9" s="24" t="inlineStr">
        <is>
          <t>Main d'œuvre par défaut</t>
        </is>
      </c>
      <c r="B9" s="31" t="n">
        <v>180</v>
      </c>
      <c r="C9" s="26" t="inlineStr">
        <is>
          <t>€</t>
        </is>
      </c>
      <c r="D9" s="27" t="inlineStr">
        <is>
          <t>Modifiable ligne par ligne dans le catalogue</t>
        </is>
      </c>
    </row>
    <row r="10" ht="18" customHeight="1">
      <c r="A10" s="24" t="inlineStr">
        <is>
          <t>Frais généraux fixes</t>
        </is>
      </c>
      <c r="B10" s="31" t="n">
        <v>25</v>
      </c>
      <c r="C10" s="26" t="inlineStr">
        <is>
          <t>€</t>
        </is>
      </c>
      <c r="D10" s="27" t="inlineStr">
        <is>
          <t>Emballage, écrin, certificat</t>
        </is>
      </c>
    </row>
    <row r="11" ht="20" customHeight="1">
      <c r="A11" s="32" t="inlineStr">
        <is>
          <t>TARIFICATION</t>
        </is>
      </c>
    </row>
    <row r="12" ht="18" customHeight="1">
      <c r="A12" s="33" t="inlineStr">
        <is>
          <t>Paramètre</t>
        </is>
      </c>
      <c r="B12" s="33" t="inlineStr">
        <is>
          <t>Valeur</t>
        </is>
      </c>
      <c r="C12" s="33" t="inlineStr">
        <is>
          <t>Unité</t>
        </is>
      </c>
      <c r="D12" s="33" t="inlineStr">
        <is>
          <t>Note</t>
        </is>
      </c>
    </row>
    <row r="13" ht="18" customHeight="1">
      <c r="A13" s="24" t="inlineStr">
        <is>
          <t>Coefficient de marge</t>
        </is>
      </c>
      <c r="B13" s="34" t="n">
        <v>2.8</v>
      </c>
      <c r="C13" s="26" t="inlineStr">
        <is>
          <t>×</t>
        </is>
      </c>
      <c r="D13" s="27" t="inlineStr">
        <is>
          <t>Prix vente HT = prix revient × coefficient</t>
        </is>
      </c>
    </row>
    <row r="14" ht="18" customHeight="1">
      <c r="A14" s="24" t="inlineStr">
        <is>
          <t>TVA</t>
        </is>
      </c>
      <c r="B14" s="35" t="n">
        <v>0.2</v>
      </c>
      <c r="C14" s="26" t="inlineStr">
        <is>
          <t>%</t>
        </is>
      </c>
      <c r="D14" s="27" t="inlineStr">
        <is>
          <t>20% — France</t>
        </is>
      </c>
    </row>
  </sheetData>
  <mergeCells count="4">
    <mergeCell ref="A1:D1"/>
    <mergeCell ref="A7:D7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6" customWidth="1" min="5" max="5"/>
    <col width="20" customWidth="1" min="6" max="6"/>
    <col width="13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5" customHeight="1">
      <c r="A1" s="1" t="inlineStr">
        <is>
          <t>CATALOGUE PRODUITS — BIJOU-R</t>
        </is>
      </c>
    </row>
    <row r="2" ht="22" customHeight="1">
      <c r="A2" s="23" t="inlineStr">
        <is>
          <t>IDENTITÉ PRODUIT</t>
        </is>
      </c>
      <c r="D2" s="10" t="inlineStr">
        <is>
          <t>MATIÈRES</t>
        </is>
      </c>
      <c r="G2" s="30" t="inlineStr">
        <is>
          <t>POIDS &amp; FABRICATION</t>
        </is>
      </c>
      <c r="J2" s="33" t="inlineStr">
        <is>
          <t>COÛTS MATIÈRES</t>
        </is>
      </c>
      <c r="L2" s="36" t="inlineStr">
        <is>
          <t>PRIX CALCULÉS  ✦  ne pas modifier</t>
        </is>
      </c>
    </row>
    <row r="3" ht="32" customHeight="1">
      <c r="A3" s="37" t="inlineStr">
        <is>
          <t>Référence</t>
        </is>
      </c>
      <c r="B3" s="37" t="inlineStr">
        <is>
          <t>Nom du modèle</t>
        </is>
      </c>
      <c r="C3" s="37" t="inlineStr">
        <is>
          <t>Collection</t>
        </is>
      </c>
      <c r="D3" s="38" t="inlineStr">
        <is>
          <t>Métal</t>
        </is>
      </c>
      <c r="E3" s="38" t="inlineStr">
        <is>
          <t>Type diamant</t>
        </is>
      </c>
      <c r="F3" s="38" t="inlineStr">
        <is>
          <t>Niveau diamant</t>
        </is>
      </c>
      <c r="G3" s="39" t="inlineStr">
        <is>
          <t>Poids or (g)</t>
        </is>
      </c>
      <c r="H3" s="39" t="inlineStr">
        <is>
          <t>Carats</t>
        </is>
      </c>
      <c r="I3" s="39" t="inlineStr">
        <is>
          <t>Main d'œuvre (€)</t>
        </is>
      </c>
      <c r="J3" s="40" t="inlineStr">
        <is>
          <t>Coût or (€)</t>
        </is>
      </c>
      <c r="K3" s="40" t="inlineStr">
        <is>
          <t>Coût diamant (€)</t>
        </is>
      </c>
      <c r="L3" s="41" t="inlineStr">
        <is>
          <t>Prix de revient (€)</t>
        </is>
      </c>
      <c r="M3" s="41" t="inlineStr">
        <is>
          <t>Prix HT (€)</t>
        </is>
      </c>
      <c r="N3" s="41" t="inlineStr">
        <is>
          <t>Prix TTC (€)</t>
        </is>
      </c>
    </row>
    <row r="4" ht="20" customHeight="1">
      <c r="A4" s="5" t="inlineStr">
        <is>
          <t>SOL-001-OB-N</t>
        </is>
      </c>
      <c r="B4" s="42" t="inlineStr">
        <is>
          <t>Solitaire Éclat</t>
        </is>
      </c>
      <c r="C4" s="42" t="inlineStr">
        <is>
          <t>Solitaires</t>
        </is>
      </c>
      <c r="D4" s="43" t="inlineStr">
        <is>
          <t>Or blanc</t>
        </is>
      </c>
      <c r="E4" s="43" t="inlineStr">
        <is>
          <t>Naturel</t>
        </is>
      </c>
      <c r="F4" s="7" t="inlineStr">
        <is>
          <t>N3 Prestige</t>
        </is>
      </c>
      <c r="G4" s="44" t="n">
        <v>3.2</v>
      </c>
      <c r="H4" s="45" t="n">
        <v>1</v>
      </c>
      <c r="I4" s="46">
        <f>CONFIG!$B$8</f>
        <v/>
      </c>
      <c r="J4" s="47">
        <f>ROUND(G4*COURS!$B$5*CONFIG!$B$5*IF(D4="Or blanc",1+CONFIG!B6,IF(D4="Or rose",1+CONFIG!B7,1)),2)</f>
        <v/>
      </c>
      <c r="K4" s="47">
        <f>ROUND(H4*IF(E4="Naturel",IF(F4="N1 Essentiel",COURS!B9,IF(F4="N2 Sélection",COURS!B10,IF(F4="N3 Prestige",COURS!B11,IF(F4="N4 Excellence",COURS!B12,IF(F4="N5 Exception",COURS!B13,0))))),IF(F4="L1 Essentiel",COURS!B17,IF(F4="L2 Sélection",COURS!B18,IF(F4="L3 Prestige",COURS!B19,IF(F4="L4 Excellence",COURS!B20,IF(F4="L5 Exception",COURS!B21,0)))))),2)</f>
        <v/>
      </c>
      <c r="L4" s="48">
        <f>ROUND(J4+K4+I4+CONFIG!$B$9,2)</f>
        <v/>
      </c>
      <c r="M4" s="48">
        <f>ROUND(L4*CONFIG!$B$11,2)</f>
        <v/>
      </c>
      <c r="N4" s="6">
        <f>ROUND(M4*(1+CONFIG!$B$12),2)</f>
        <v/>
      </c>
    </row>
    <row r="5" ht="20" customHeight="1">
      <c r="A5" s="49" t="inlineStr">
        <is>
          <t>SOL-001-OB-L</t>
        </is>
      </c>
      <c r="B5" s="50" t="inlineStr">
        <is>
          <t>Solitaire Éclat</t>
        </is>
      </c>
      <c r="C5" s="50" t="inlineStr">
        <is>
          <t>Solitaires</t>
        </is>
      </c>
      <c r="D5" s="43" t="inlineStr">
        <is>
          <t>Or blanc</t>
        </is>
      </c>
      <c r="E5" s="51" t="inlineStr">
        <is>
          <t>Labo</t>
        </is>
      </c>
      <c r="F5" s="52" t="inlineStr">
        <is>
          <t>L3 Prestige</t>
        </is>
      </c>
      <c r="G5" s="53" t="n">
        <v>3.2</v>
      </c>
      <c r="H5" s="54" t="n">
        <v>1</v>
      </c>
      <c r="I5" s="46">
        <f>CONFIG!$B$8</f>
        <v/>
      </c>
      <c r="J5" s="47">
        <f>ROUND(G5*COURS!$B$5*CONFIG!$B$5*IF(D5="Or blanc",1+CONFIG!B6,IF(D5="Or rose",1+CONFIG!B7,1)),2)</f>
        <v/>
      </c>
      <c r="K5" s="47">
        <f>ROUND(H5*IF(E5="Naturel",IF(F5="N1 Essentiel",COURS!B9,IF(F5="N2 Sélection",COURS!B10,IF(F5="N3 Prestige",COURS!B11,IF(F5="N4 Excellence",COURS!B12,IF(F5="N5 Exception",COURS!B13,0))))),IF(F5="L1 Essentiel",COURS!B17,IF(F5="L2 Sélection",COURS!B18,IF(F5="L3 Prestige",COURS!B19,IF(F5="L4 Excellence",COURS!B20,IF(F5="L5 Exception",COURS!B21,0)))))),2)</f>
        <v/>
      </c>
      <c r="L5" s="48">
        <f>ROUND(J5+K5+I5+CONFIG!$B$9,2)</f>
        <v/>
      </c>
      <c r="M5" s="48">
        <f>ROUND(L5*CONFIG!$B$11,2)</f>
        <v/>
      </c>
      <c r="N5" s="6">
        <f>ROUND(M5*(1+CONFIG!$B$12),2)</f>
        <v/>
      </c>
    </row>
    <row r="6" ht="20" customHeight="1">
      <c r="A6" s="5" t="inlineStr">
        <is>
          <t>SOL-001-OJ-N</t>
        </is>
      </c>
      <c r="B6" s="42" t="inlineStr">
        <is>
          <t>Solitaire Éclat</t>
        </is>
      </c>
      <c r="C6" s="42" t="inlineStr">
        <is>
          <t>Solitaires</t>
        </is>
      </c>
      <c r="D6" s="55" t="inlineStr">
        <is>
          <t>Or jaune</t>
        </is>
      </c>
      <c r="E6" s="43" t="inlineStr">
        <is>
          <t>Naturel</t>
        </is>
      </c>
      <c r="F6" s="7" t="inlineStr">
        <is>
          <t>N3 Prestige</t>
        </is>
      </c>
      <c r="G6" s="44" t="n">
        <v>3.2</v>
      </c>
      <c r="H6" s="45" t="n">
        <v>1</v>
      </c>
      <c r="I6" s="46">
        <f>CONFIG!$B$8</f>
        <v/>
      </c>
      <c r="J6" s="47">
        <f>ROUND(G6*COURS!$B$5*CONFIG!$B$5*IF(D6="Or blanc",1+CONFIG!B6,IF(D6="Or rose",1+CONFIG!B7,1)),2)</f>
        <v/>
      </c>
      <c r="K6" s="47">
        <f>ROUND(H6*IF(E6="Naturel",IF(F6="N1 Essentiel",COURS!B9,IF(F6="N2 Sélection",COURS!B10,IF(F6="N3 Prestige",COURS!B11,IF(F6="N4 Excellence",COURS!B12,IF(F6="N5 Exception",COURS!B13,0))))),IF(F6="L1 Essentiel",COURS!B17,IF(F6="L2 Sélection",COURS!B18,IF(F6="L3 Prestige",COURS!B19,IF(F6="L4 Excellence",COURS!B20,IF(F6="L5 Exception",COURS!B21,0)))))),2)</f>
        <v/>
      </c>
      <c r="L6" s="48">
        <f>ROUND(J6+K6+I6+CONFIG!$B$9,2)</f>
        <v/>
      </c>
      <c r="M6" s="48">
        <f>ROUND(L6*CONFIG!$B$11,2)</f>
        <v/>
      </c>
      <c r="N6" s="6">
        <f>ROUND(M6*(1+CONFIG!$B$12),2)</f>
        <v/>
      </c>
    </row>
    <row r="7" ht="20" customHeight="1">
      <c r="A7" s="49" t="inlineStr">
        <is>
          <t>SOL-001-OR-N</t>
        </is>
      </c>
      <c r="B7" s="50" t="inlineStr">
        <is>
          <t>Solitaire Éclat</t>
        </is>
      </c>
      <c r="C7" s="50" t="inlineStr">
        <is>
          <t>Solitaires</t>
        </is>
      </c>
      <c r="D7" s="56" t="inlineStr">
        <is>
          <t>Or rose</t>
        </is>
      </c>
      <c r="E7" s="43" t="inlineStr">
        <is>
          <t>Naturel</t>
        </is>
      </c>
      <c r="F7" s="52" t="inlineStr">
        <is>
          <t>N3 Prestige</t>
        </is>
      </c>
      <c r="G7" s="53" t="n">
        <v>3.2</v>
      </c>
      <c r="H7" s="54" t="n">
        <v>1</v>
      </c>
      <c r="I7" s="46">
        <f>CONFIG!$B$8</f>
        <v/>
      </c>
      <c r="J7" s="47">
        <f>ROUND(G7*COURS!$B$5*CONFIG!$B$5*IF(D7="Or blanc",1+CONFIG!B6,IF(D7="Or rose",1+CONFIG!B7,1)),2)</f>
        <v/>
      </c>
      <c r="K7" s="47">
        <f>ROUND(H7*IF(E7="Naturel",IF(F7="N1 Essentiel",COURS!B9,IF(F7="N2 Sélection",COURS!B10,IF(F7="N3 Prestige",COURS!B11,IF(F7="N4 Excellence",COURS!B12,IF(F7="N5 Exception",COURS!B13,0))))),IF(F7="L1 Essentiel",COURS!B17,IF(F7="L2 Sélection",COURS!B18,IF(F7="L3 Prestige",COURS!B19,IF(F7="L4 Excellence",COURS!B20,IF(F7="L5 Exception",COURS!B21,0)))))),2)</f>
        <v/>
      </c>
      <c r="L7" s="48">
        <f>ROUND(J7+K7+I7+CONFIG!$B$9,2)</f>
        <v/>
      </c>
      <c r="M7" s="48">
        <f>ROUND(L7*CONFIG!$B$11,2)</f>
        <v/>
      </c>
      <c r="N7" s="6">
        <f>ROUND(M7*(1+CONFIG!$B$12),2)</f>
        <v/>
      </c>
    </row>
    <row r="8" ht="20" customHeight="1">
      <c r="A8" s="5" t="inlineStr">
        <is>
          <t>PAV-001-OB-N</t>
        </is>
      </c>
      <c r="B8" s="42" t="inlineStr">
        <is>
          <t>Pavé Lumière</t>
        </is>
      </c>
      <c r="C8" s="42" t="inlineStr">
        <is>
          <t>Pavé</t>
        </is>
      </c>
      <c r="D8" s="43" t="inlineStr">
        <is>
          <t>Or blanc</t>
        </is>
      </c>
      <c r="E8" s="43" t="inlineStr">
        <is>
          <t>Naturel</t>
        </is>
      </c>
      <c r="F8" s="7" t="inlineStr">
        <is>
          <t>N2 Sélection</t>
        </is>
      </c>
      <c r="G8" s="44" t="n">
        <v>4.1</v>
      </c>
      <c r="H8" s="45" t="n">
        <v>0.48</v>
      </c>
      <c r="I8" s="46">
        <f>CONFIG!$B$8</f>
        <v/>
      </c>
      <c r="J8" s="47">
        <f>ROUND(G8*COURS!$B$5*CONFIG!$B$5*IF(D8="Or blanc",1+CONFIG!B6,IF(D8="Or rose",1+CONFIG!B7,1)),2)</f>
        <v/>
      </c>
      <c r="K8" s="47">
        <f>ROUND(H8*IF(E8="Naturel",IF(F8="N1 Essentiel",COURS!B9,IF(F8="N2 Sélection",COURS!B10,IF(F8="N3 Prestige",COURS!B11,IF(F8="N4 Excellence",COURS!B12,IF(F8="N5 Exception",COURS!B13,0))))),IF(F8="L1 Essentiel",COURS!B17,IF(F8="L2 Sélection",COURS!B18,IF(F8="L3 Prestige",COURS!B19,IF(F8="L4 Excellence",COURS!B20,IF(F8="L5 Exception",COURS!B21,0)))))),2)</f>
        <v/>
      </c>
      <c r="L8" s="48">
        <f>ROUND(J8+K8+I8+CONFIG!$B$9,2)</f>
        <v/>
      </c>
      <c r="M8" s="48">
        <f>ROUND(L8*CONFIG!$B$11,2)</f>
        <v/>
      </c>
      <c r="N8" s="6">
        <f>ROUND(M8*(1+CONFIG!$B$12),2)</f>
        <v/>
      </c>
    </row>
    <row r="9" ht="20" customHeight="1">
      <c r="A9" s="49" t="inlineStr">
        <is>
          <t>PAV-001-OB-L</t>
        </is>
      </c>
      <c r="B9" s="50" t="inlineStr">
        <is>
          <t>Pavé Lumière</t>
        </is>
      </c>
      <c r="C9" s="50" t="inlineStr">
        <is>
          <t>Pavé</t>
        </is>
      </c>
      <c r="D9" s="43" t="inlineStr">
        <is>
          <t>Or blanc</t>
        </is>
      </c>
      <c r="E9" s="51" t="inlineStr">
        <is>
          <t>Labo</t>
        </is>
      </c>
      <c r="F9" s="52" t="inlineStr">
        <is>
          <t>L2 Sélection</t>
        </is>
      </c>
      <c r="G9" s="53" t="n">
        <v>4.1</v>
      </c>
      <c r="H9" s="54" t="n">
        <v>0.48</v>
      </c>
      <c r="I9" s="46">
        <f>CONFIG!$B$8</f>
        <v/>
      </c>
      <c r="J9" s="47">
        <f>ROUND(G9*COURS!$B$5*CONFIG!$B$5*IF(D9="Or blanc",1+CONFIG!B6,IF(D9="Or rose",1+CONFIG!B7,1)),2)</f>
        <v/>
      </c>
      <c r="K9" s="47">
        <f>ROUND(H9*IF(E9="Naturel",IF(F9="N1 Essentiel",COURS!B9,IF(F9="N2 Sélection",COURS!B10,IF(F9="N3 Prestige",COURS!B11,IF(F9="N4 Excellence",COURS!B12,IF(F9="N5 Exception",COURS!B13,0))))),IF(F9="L1 Essentiel",COURS!B17,IF(F9="L2 Sélection",COURS!B18,IF(F9="L3 Prestige",COURS!B19,IF(F9="L4 Excellence",COURS!B20,IF(F9="L5 Exception",COURS!B21,0)))))),2)</f>
        <v/>
      </c>
      <c r="L9" s="48">
        <f>ROUND(J9+K9+I9+CONFIG!$B$9,2)</f>
        <v/>
      </c>
      <c r="M9" s="48">
        <f>ROUND(L9*CONFIG!$B$11,2)</f>
        <v/>
      </c>
      <c r="N9" s="6">
        <f>ROUND(M9*(1+CONFIG!$B$12),2)</f>
        <v/>
      </c>
    </row>
    <row r="10" ht="20" customHeight="1">
      <c r="A10" s="5" t="inlineStr">
        <is>
          <t>ALI-001-OB-N</t>
        </is>
      </c>
      <c r="B10" s="42" t="inlineStr">
        <is>
          <t>Alliance Éternité</t>
        </is>
      </c>
      <c r="C10" s="42" t="inlineStr">
        <is>
          <t>Alliances</t>
        </is>
      </c>
      <c r="D10" s="43" t="inlineStr">
        <is>
          <t>Or blanc</t>
        </is>
      </c>
      <c r="E10" s="43" t="inlineStr">
        <is>
          <t>Naturel</t>
        </is>
      </c>
      <c r="F10" s="7" t="inlineStr">
        <is>
          <t>N1 Essentiel</t>
        </is>
      </c>
      <c r="G10" s="44" t="n">
        <v>2.8</v>
      </c>
      <c r="H10" s="45" t="n">
        <v>0.3</v>
      </c>
      <c r="I10" s="46">
        <f>CONFIG!$B$8</f>
        <v/>
      </c>
      <c r="J10" s="47">
        <f>ROUND(G10*COURS!$B$5*CONFIG!$B$5*IF(D10="Or blanc",1+CONFIG!B6,IF(D10="Or rose",1+CONFIG!B7,1)),2)</f>
        <v/>
      </c>
      <c r="K10" s="47">
        <f>ROUND(H10*IF(E10="Naturel",IF(F10="N1 Essentiel",COURS!B9,IF(F10="N2 Sélection",COURS!B10,IF(F10="N3 Prestige",COURS!B11,IF(F10="N4 Excellence",COURS!B12,IF(F10="N5 Exception",COURS!B13,0))))),IF(F10="L1 Essentiel",COURS!B17,IF(F10="L2 Sélection",COURS!B18,IF(F10="L3 Prestige",COURS!B19,IF(F10="L4 Excellence",COURS!B20,IF(F10="L5 Exception",COURS!B21,0)))))),2)</f>
        <v/>
      </c>
      <c r="L10" s="48">
        <f>ROUND(J10+K10+I10+CONFIG!$B$9,2)</f>
        <v/>
      </c>
      <c r="M10" s="48">
        <f>ROUND(L10*CONFIG!$B$11,2)</f>
        <v/>
      </c>
      <c r="N10" s="6">
        <f>ROUND(M10*(1+CONFIG!$B$12),2)</f>
        <v/>
      </c>
    </row>
    <row r="11" ht="20" customHeight="1">
      <c r="A11" s="49" t="inlineStr">
        <is>
          <t>ALI-001-OJ-N</t>
        </is>
      </c>
      <c r="B11" s="50" t="inlineStr">
        <is>
          <t>Alliance Éternité</t>
        </is>
      </c>
      <c r="C11" s="50" t="inlineStr">
        <is>
          <t>Alliances</t>
        </is>
      </c>
      <c r="D11" s="55" t="inlineStr">
        <is>
          <t>Or jaune</t>
        </is>
      </c>
      <c r="E11" s="43" t="inlineStr">
        <is>
          <t>Naturel</t>
        </is>
      </c>
      <c r="F11" s="52" t="inlineStr">
        <is>
          <t>N1 Essentiel</t>
        </is>
      </c>
      <c r="G11" s="53" t="n">
        <v>2.8</v>
      </c>
      <c r="H11" s="54" t="n">
        <v>0.3</v>
      </c>
      <c r="I11" s="46">
        <f>CONFIG!$B$8</f>
        <v/>
      </c>
      <c r="J11" s="47">
        <f>ROUND(G11*COURS!$B$5*CONFIG!$B$5*IF(D11="Or blanc",1+CONFIG!B6,IF(D11="Or rose",1+CONFIG!B7,1)),2)</f>
        <v/>
      </c>
      <c r="K11" s="47">
        <f>ROUND(H11*IF(E11="Naturel",IF(F11="N1 Essentiel",COURS!B9,IF(F11="N2 Sélection",COURS!B10,IF(F11="N3 Prestige",COURS!B11,IF(F11="N4 Excellence",COURS!B12,IF(F11="N5 Exception",COURS!B13,0))))),IF(F11="L1 Essentiel",COURS!B17,IF(F11="L2 Sélection",COURS!B18,IF(F11="L3 Prestige",COURS!B19,IF(F11="L4 Excellence",COURS!B20,IF(F11="L5 Exception",COURS!B21,0)))))),2)</f>
        <v/>
      </c>
      <c r="L11" s="48">
        <f>ROUND(J11+K11+I11+CONFIG!$B$9,2)</f>
        <v/>
      </c>
      <c r="M11" s="48">
        <f>ROUND(L11*CONFIG!$B$11,2)</f>
        <v/>
      </c>
      <c r="N11" s="6">
        <f>ROUND(M11*(1+CONFIG!$B$12),2)</f>
        <v/>
      </c>
    </row>
    <row r="12" ht="18" customHeight="1">
      <c r="A12" s="57" t="inlineStr">
        <is>
          <t>⟶  Ajouter vos produits à partir de cette ligne en copiant une ligne existante</t>
        </is>
      </c>
    </row>
  </sheetData>
  <mergeCells count="7">
    <mergeCell ref="D2:F2"/>
    <mergeCell ref="G2:I2"/>
    <mergeCell ref="A12:N12"/>
    <mergeCell ref="J2:K2"/>
    <mergeCell ref="L2:N2"/>
    <mergeCell ref="A2:C2"/>
    <mergeCell ref="A1:N1"/>
  </mergeCells>
  <dataValidations count="3">
    <dataValidation sqref="D4:D500" showDropDown="0" showInputMessage="0" showErrorMessage="0" allowBlank="0" type="list">
      <formula1>"Or blanc,Or jaune,Or rose"</formula1>
    </dataValidation>
    <dataValidation sqref="E4:E500" showDropDown="0" showInputMessage="0" showErrorMessage="0" allowBlank="0" type="list">
      <formula1>"Naturel,Labo"</formula1>
    </dataValidation>
    <dataValidation sqref="F4:F500" showDropDown="0" showInputMessage="0" showErrorMessage="0" allowBlank="0" type="list">
      <formula1>"N1 Essentiel,N2 Sélection,N3 Prestige,N4 Excellence,N5 Exception,L1 Essentiel,L2 Sélection,L3 Prestige,L4 Excellence,L5 Exception"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U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30" customHeight="1">
      <c r="A1" s="58" t="inlineStr">
        <is>
          <t>EXPORT SHOPIFY — Format prêt pour import Matrixify</t>
        </is>
      </c>
    </row>
    <row r="2" ht="28" customHeight="1">
      <c r="A2" s="37" t="inlineStr">
        <is>
          <t>Handle</t>
        </is>
      </c>
      <c r="B2" s="37" t="inlineStr">
        <is>
          <t>Title</t>
        </is>
      </c>
      <c r="C2" s="37" t="inlineStr">
        <is>
          <t>Body (HTML)</t>
        </is>
      </c>
      <c r="D2" s="37" t="inlineStr">
        <is>
          <t>Vendor</t>
        </is>
      </c>
      <c r="E2" s="37" t="inlineStr">
        <is>
          <t>Type</t>
        </is>
      </c>
      <c r="F2" s="37" t="inlineStr">
        <is>
          <t>Tags</t>
        </is>
      </c>
      <c r="G2" s="37" t="inlineStr">
        <is>
          <t>Published</t>
        </is>
      </c>
      <c r="H2" s="37" t="inlineStr">
        <is>
          <t>Option1 Name</t>
        </is>
      </c>
      <c r="I2" s="37" t="inlineStr">
        <is>
          <t>Option1 Value</t>
        </is>
      </c>
      <c r="J2" s="37" t="inlineStr">
        <is>
          <t>Option2 Name</t>
        </is>
      </c>
      <c r="K2" s="37" t="inlineStr">
        <is>
          <t>Option2 Value</t>
        </is>
      </c>
      <c r="L2" s="37" t="inlineStr">
        <is>
          <t>Option3 Name</t>
        </is>
      </c>
      <c r="M2" s="37" t="inlineStr">
        <is>
          <t>Option3 Value</t>
        </is>
      </c>
      <c r="N2" s="37" t="inlineStr">
        <is>
          <t>Variant SKU</t>
        </is>
      </c>
      <c r="O2" s="37" t="inlineStr">
        <is>
          <t>Variant Price</t>
        </is>
      </c>
      <c r="P2" s="37" t="inlineStr">
        <is>
          <t>Variant Compare At Price</t>
        </is>
      </c>
      <c r="Q2" s="37" t="inlineStr">
        <is>
          <t>Variant Inventory Qty</t>
        </is>
      </c>
      <c r="R2" s="37" t="inlineStr">
        <is>
          <t>Image Src</t>
        </is>
      </c>
      <c r="S2" s="37" t="inlineStr">
        <is>
          <t>Image Alt Text</t>
        </is>
      </c>
      <c r="T2" s="37" t="inlineStr">
        <is>
          <t>SEO Title</t>
        </is>
      </c>
      <c r="U2" s="37" t="inlineStr">
        <is>
          <t>SEO Description</t>
        </is>
      </c>
    </row>
    <row r="3" ht="32" customHeight="1">
      <c r="A3" s="59" t="inlineStr">
        <is>
          <t>ℹ  Remplissez cet onglet depuis le CATALOGUE en copiant Référence → Handle, Nom → Title, Prix TTC → Variant Price. Ajoutez les variantes de taille (une ligne par taille, même Handle). Exportez en .CSV pour Matrixify.</t>
        </is>
      </c>
    </row>
    <row r="4" ht="18" customHeight="1">
      <c r="A4" s="60" t="inlineStr">
        <is>
          <t>solitaire-eclat-ob-n</t>
        </is>
      </c>
      <c r="B4" s="60" t="inlineStr">
        <is>
          <t>Solitaire Éclat — Or Blanc — Diamant Naturel</t>
        </is>
      </c>
      <c r="C4" s="60" t="inlineStr">
        <is>
          <t>&lt;p&gt;Description SEO à remplir&lt;/p&gt;</t>
        </is>
      </c>
      <c r="D4" s="60" t="inlineStr">
        <is>
          <t>Bijou-R</t>
        </is>
      </c>
      <c r="E4" s="60" t="inlineStr">
        <is>
          <t>Bague Solitaire</t>
        </is>
      </c>
      <c r="F4" s="60" t="inlineStr">
        <is>
          <t>solitaire, diamant naturel, or blanc, fiançailles</t>
        </is>
      </c>
      <c r="G4" s="60" t="inlineStr">
        <is>
          <t>TRUE</t>
        </is>
      </c>
      <c r="H4" s="60" t="inlineStr">
        <is>
          <t>Taille</t>
        </is>
      </c>
      <c r="I4" s="60" t="inlineStr">
        <is>
          <t>52</t>
        </is>
      </c>
      <c r="J4" s="60" t="inlineStr">
        <is>
          <t>Métal</t>
        </is>
      </c>
      <c r="K4" s="60" t="inlineStr">
        <is>
          <t>Or blanc</t>
        </is>
      </c>
      <c r="L4" s="60" t="inlineStr">
        <is>
          <t>Diamant</t>
        </is>
      </c>
      <c r="M4" s="60" t="inlineStr">
        <is>
          <t>N3 Prestige</t>
        </is>
      </c>
      <c r="N4" s="60" t="inlineStr">
        <is>
          <t>SOL-001-OB-N-52</t>
        </is>
      </c>
      <c r="O4" s="60">
        <f>CATALOGUE!N4</f>
        <v/>
      </c>
      <c r="P4" s="60" t="inlineStr"/>
      <c r="Q4" s="60" t="inlineStr">
        <is>
          <t>3</t>
        </is>
      </c>
      <c r="R4" s="60" t="inlineStr">
        <is>
          <t>https://url-image.com/bague.jpg</t>
        </is>
      </c>
      <c r="S4" s="60" t="inlineStr">
        <is>
          <t>Solitaire Éclat diamant naturel 1ct or blanc</t>
        </is>
      </c>
      <c r="T4" s="60" t="inlineStr">
        <is>
          <t>Bague Solitaire Diamant 1ct Or Blanc — Bijou-R</t>
        </is>
      </c>
      <c r="U4" s="60" t="inlineStr">
        <is>
          <t>Découvrez notre solitaire Éclat, diamant naturel 1 carat F/VS1 serti en or blanc 18k.</t>
        </is>
      </c>
    </row>
  </sheetData>
  <mergeCells count="2">
    <mergeCell ref="A1:U1"/>
    <mergeCell ref="A3: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2026-05-19T12:05:41Z</dcterms:created>
  <dcterms:modified xsi:type="dcterms:W3CDTF">2026-05-19T12:05:41Z</dcterms:modified>
</cp:coreProperties>
</file>